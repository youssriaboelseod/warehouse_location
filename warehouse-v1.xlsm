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30" windowWidth="20115" windowHeight="7485" firstSheet="2" activeTab="6"/>
  </bookViews>
  <sheets>
    <sheet name="inventory" sheetId="1" r:id="rId1"/>
    <sheet name="location_items" sheetId="5" r:id="rId2"/>
    <sheet name="input" sheetId="4" r:id="rId3"/>
    <sheet name="output" sheetId="2" r:id="rId4"/>
    <sheet name="location_details" sheetId="6" r:id="rId5"/>
    <sheet name="print" sheetId="8" r:id="rId6"/>
    <sheet name="print_list" sheetId="9" r:id="rId7"/>
    <sheet name="test" sheetId="10" r:id="rId8"/>
  </sheets>
  <definedNames>
    <definedName name="_xlnm._FilterDatabase" localSheetId="0" hidden="1">inventory!$A$1:$AE$360</definedName>
    <definedName name="_xlnm._FilterDatabase" localSheetId="1" hidden="1">location_items!$A$1:$J$26</definedName>
    <definedName name="_xlnm._FilterDatabase" localSheetId="6" hidden="1">print_list!$C$1:$C$27</definedName>
  </definedNames>
  <calcPr calcId="145621"/>
</workbook>
</file>

<file path=xl/calcChain.xml><?xml version="1.0" encoding="utf-8"?>
<calcChain xmlns="http://schemas.openxmlformats.org/spreadsheetml/2006/main">
  <c r="C6" i="8" l="1"/>
  <c r="H27" i="5"/>
  <c r="P1" i="4"/>
  <c r="U1" i="4"/>
  <c r="Z1" i="4"/>
  <c r="AF1" i="4"/>
  <c r="AK1" i="4"/>
  <c r="A6" i="4" l="1"/>
  <c r="A7" i="4"/>
  <c r="A8" i="4"/>
  <c r="H24" i="5" l="1"/>
  <c r="H22" i="5" l="1"/>
  <c r="H21" i="5"/>
  <c r="H20" i="5"/>
  <c r="H19" i="5"/>
  <c r="H18" i="5"/>
  <c r="H17" i="5"/>
  <c r="H16" i="5"/>
  <c r="H15" i="5"/>
  <c r="H14" i="5"/>
  <c r="H3" i="5"/>
  <c r="H4" i="5"/>
  <c r="H5" i="5"/>
  <c r="H6" i="5"/>
  <c r="H7" i="5"/>
  <c r="H8" i="5"/>
  <c r="H9" i="5"/>
  <c r="H10" i="5"/>
  <c r="H11" i="5"/>
  <c r="H12" i="5"/>
  <c r="V4" i="1" l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37" i="1"/>
  <c r="V38" i="1"/>
  <c r="V39" i="1"/>
  <c r="V40" i="1"/>
  <c r="V41" i="1"/>
  <c r="V42" i="1"/>
  <c r="V43" i="1"/>
  <c r="V44" i="1"/>
  <c r="V45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25" i="1"/>
  <c r="V26" i="1"/>
  <c r="V27" i="1"/>
  <c r="V28" i="1"/>
  <c r="V29" i="1"/>
  <c r="V30" i="1"/>
  <c r="V31" i="1"/>
  <c r="V32" i="1"/>
  <c r="V33" i="1"/>
  <c r="V34" i="1"/>
  <c r="V35" i="1"/>
  <c r="V36" i="1"/>
  <c r="V19" i="1"/>
  <c r="V20" i="1"/>
  <c r="V21" i="1"/>
  <c r="V22" i="1"/>
  <c r="V23" i="1"/>
  <c r="V24" i="1"/>
  <c r="V18" i="1"/>
  <c r="U46" i="1" l="1"/>
  <c r="K46" i="1"/>
  <c r="T46" i="1" s="1"/>
  <c r="Q46" i="1" l="1"/>
  <c r="S46" i="1" s="1"/>
  <c r="V46" i="1" s="1"/>
  <c r="C1" i="1"/>
  <c r="F37" i="1"/>
  <c r="F45" i="1"/>
  <c r="F59" i="1"/>
  <c r="F68" i="1"/>
  <c r="E76" i="1"/>
  <c r="F76" i="1"/>
  <c r="E80" i="1"/>
  <c r="F80" i="1"/>
  <c r="F99" i="1"/>
  <c r="F124" i="1"/>
  <c r="F130" i="1"/>
  <c r="F137" i="1"/>
  <c r="F141" i="1"/>
  <c r="F145" i="1"/>
  <c r="F149" i="1"/>
  <c r="F155" i="1"/>
  <c r="F161" i="1"/>
  <c r="F177" i="1"/>
  <c r="F182" i="1"/>
  <c r="F186" i="1"/>
  <c r="F191" i="1"/>
  <c r="F198" i="1"/>
  <c r="F202" i="1"/>
  <c r="F214" i="1"/>
  <c r="F236" i="1"/>
  <c r="E240" i="1"/>
  <c r="E255" i="1" s="1"/>
  <c r="F240" i="1"/>
  <c r="E247" i="1"/>
  <c r="F247" i="1"/>
  <c r="E254" i="1"/>
  <c r="F254" i="1"/>
  <c r="F262" i="1"/>
  <c r="F277" i="1"/>
  <c r="F286" i="1"/>
  <c r="F339" i="1"/>
  <c r="F287" i="1" l="1"/>
</calcChain>
</file>

<file path=xl/sharedStrings.xml><?xml version="1.0" encoding="utf-8"?>
<sst xmlns="http://schemas.openxmlformats.org/spreadsheetml/2006/main" count="1308" uniqueCount="729">
  <si>
    <t>كود</t>
  </si>
  <si>
    <t>اسم الصنف</t>
  </si>
  <si>
    <t>الصنف</t>
  </si>
  <si>
    <t>FMDAIIT4000000</t>
  </si>
  <si>
    <t>فوم تغليف علوى يمين امامى 12 قدم معدل تروبيكال</t>
  </si>
  <si>
    <t>FMDAIIT2000000</t>
  </si>
  <si>
    <t>فوم تغليف علوى يمين خلفى 12 قدم تروبيكال</t>
  </si>
  <si>
    <t>FMDAIIT1000000</t>
  </si>
  <si>
    <t>فوم تغليف علوى شمال امامى 12 قدم تروبيكال</t>
  </si>
  <si>
    <t>FMDAIIT3000000</t>
  </si>
  <si>
    <t>فوم تغليف علوى شمال خلفى 12 قدم تروبيكال</t>
  </si>
  <si>
    <t>FMDAIIT6000000</t>
  </si>
  <si>
    <t>فوم تغليف سفلى يمين 12 قدم تروبيكال</t>
  </si>
  <si>
    <t>FMDAIIT5000000</t>
  </si>
  <si>
    <t>فوم تغليف سفلى شمال 12 قدم تروبيكال</t>
  </si>
  <si>
    <t>FMDAII82000000</t>
  </si>
  <si>
    <t>فوم تغليف علوى يمين 8&amp;10 قدم</t>
  </si>
  <si>
    <t>FMDAII81000000</t>
  </si>
  <si>
    <t>فوم تغليف علوى شمال 8 &amp;10 قدم</t>
  </si>
  <si>
    <t>FMDAII84000000</t>
  </si>
  <si>
    <t>فوم تغليف سفلى يمين 8 &amp;10 قدم</t>
  </si>
  <si>
    <t>FMDAII83000000</t>
  </si>
  <si>
    <t>فوم تغليف سفلى شمال 8 &amp;10 قدم</t>
  </si>
  <si>
    <t>FMDAIID1000000</t>
  </si>
  <si>
    <t>دايو 9ـ 11 قدم علوي يمين</t>
  </si>
  <si>
    <t>FMDAIID2000000</t>
  </si>
  <si>
    <t>دايو 9ـ 11 قدم علوي شمال</t>
  </si>
  <si>
    <t>FMDAIID3000000</t>
  </si>
  <si>
    <t>دايو 9ـ11 قدم سفلي يمين</t>
  </si>
  <si>
    <t>FMABDI30800000</t>
  </si>
  <si>
    <t>دايو 9ـ11 قدم سفلي شمال</t>
  </si>
  <si>
    <t>FMDAIIM1000000</t>
  </si>
  <si>
    <t>فوم تغليف علوى يمين امامى  9 * 11 قدم معدل</t>
  </si>
  <si>
    <t>FMDAIIM2000000</t>
  </si>
  <si>
    <t>فوم تغليف علوى يمين خلفى 9*11    قدم معدل</t>
  </si>
  <si>
    <t>FMDAIIM3000000</t>
  </si>
  <si>
    <t>فوم تغليف علوى شمال امامى 9 *11 قدم معدل</t>
  </si>
  <si>
    <t>FMDAIIM4000000</t>
  </si>
  <si>
    <t>فوم تغليف علوى شمال خلفى 9*11 قدم معدل</t>
  </si>
  <si>
    <t>FMDAIIM6000000</t>
  </si>
  <si>
    <t>فوم تغليف سفلى يمين 9 *11 قدم معدل</t>
  </si>
  <si>
    <t>FMDAIIM5000000</t>
  </si>
  <si>
    <t>فوم تغليف سفلى شمال 9 *11 قدم معدل</t>
  </si>
  <si>
    <t>FMDAIIFB200000</t>
  </si>
  <si>
    <r>
      <t xml:space="preserve">                  FB 2000  </t>
    </r>
    <r>
      <rPr>
        <b/>
        <sz val="14"/>
        <color indexed="10"/>
        <rFont val="Arial"/>
        <family val="2"/>
      </rPr>
      <t>عازل فوم B</t>
    </r>
  </si>
  <si>
    <t>FMDAIIDDV20000</t>
  </si>
  <si>
    <r>
      <t xml:space="preserve">                  D D V 2000    </t>
    </r>
    <r>
      <rPr>
        <b/>
        <sz val="14"/>
        <color indexed="10"/>
        <rFont val="Arial"/>
        <family val="2"/>
      </rPr>
      <t>عازل فوم الدعامة الوسطى DF10</t>
    </r>
  </si>
  <si>
    <t>FMDAIIDDV34000</t>
  </si>
  <si>
    <r>
      <t xml:space="preserve">                  D D V 340  </t>
    </r>
    <r>
      <rPr>
        <b/>
        <sz val="14"/>
        <color indexed="10"/>
        <rFont val="Arial"/>
        <family val="2"/>
      </rPr>
      <t>عازل فوم الدعامة الوسطى DF12</t>
    </r>
  </si>
  <si>
    <t>FMDAIIMF340000</t>
  </si>
  <si>
    <r>
      <t xml:space="preserve">                  M / F 340   </t>
    </r>
    <r>
      <rPr>
        <b/>
        <sz val="14"/>
        <color indexed="10"/>
        <rFont val="Arial"/>
        <family val="2"/>
      </rPr>
      <t>عازل فوم مجرى الهواءNF12</t>
    </r>
  </si>
  <si>
    <t>FMABDI70100000</t>
  </si>
  <si>
    <t>كفر زانوسي 70</t>
  </si>
  <si>
    <t>FMABDI70200000</t>
  </si>
  <si>
    <t>قاعدة زانوسي 70</t>
  </si>
  <si>
    <t>FMABDI30300000</t>
  </si>
  <si>
    <t>زانوسي العبد 303</t>
  </si>
  <si>
    <t>FMABDI30400000</t>
  </si>
  <si>
    <t>زانوسي العبد 304</t>
  </si>
  <si>
    <t>FMABDI30500000</t>
  </si>
  <si>
    <t>زانوسى العبد 305فاصل سفلى  VOS0445</t>
  </si>
  <si>
    <t>زانوسي العبد 307</t>
  </si>
  <si>
    <t>زانوسي العبد 308</t>
  </si>
  <si>
    <t>FMABDI30900000</t>
  </si>
  <si>
    <t>زانوسي العبد 309</t>
  </si>
  <si>
    <t>FMABDI31400000</t>
  </si>
  <si>
    <t>زانوسي العبد 314</t>
  </si>
  <si>
    <t>اجمالى التلاجات</t>
  </si>
  <si>
    <t>FMDAIIF1000000</t>
  </si>
  <si>
    <t>حلة فيكتوريا</t>
  </si>
  <si>
    <t>FMDAIIF2000000</t>
  </si>
  <si>
    <t>لوحة تحكم فيكتوريا</t>
  </si>
  <si>
    <t>FMDAIIF3000000</t>
  </si>
  <si>
    <t>زوايا فيكتوريا امامية</t>
  </si>
  <si>
    <t>FMDAIIF4000000</t>
  </si>
  <si>
    <t>زوايا فيكتوريا خلفية</t>
  </si>
  <si>
    <t>FMDAIIW0000000</t>
  </si>
  <si>
    <t>قاعدة غسالة فوم 4.3سم</t>
  </si>
  <si>
    <t>FMCFII30000000</t>
  </si>
  <si>
    <t xml:space="preserve">الثقل </t>
  </si>
  <si>
    <t>FMCCII00000000</t>
  </si>
  <si>
    <t>مفتاح لوتشي</t>
  </si>
  <si>
    <t>اجمالى الغسالات</t>
  </si>
  <si>
    <t>FMDACI49000001</t>
  </si>
  <si>
    <t>قاعدة بوتجاز 90 تصدير</t>
  </si>
  <si>
    <t>FMDACI49000002</t>
  </si>
  <si>
    <t>زاويا امامية 90 تصدير</t>
  </si>
  <si>
    <t>FMDACI49000003</t>
  </si>
  <si>
    <t>زاويا خلفية 90 تصدير</t>
  </si>
  <si>
    <t>FMDACI16060000</t>
  </si>
  <si>
    <t>قاعدة 60*60</t>
  </si>
  <si>
    <t>FMDACI16090000</t>
  </si>
  <si>
    <t>قاعدة 60*90</t>
  </si>
  <si>
    <t>FMDACI30000000</t>
  </si>
  <si>
    <t>جانب حماية يمين</t>
  </si>
  <si>
    <t>FMDACI40000000</t>
  </si>
  <si>
    <t>جانب حماية شمال</t>
  </si>
  <si>
    <t>FMDACI66060000</t>
  </si>
  <si>
    <t>دعامة 60*60</t>
  </si>
  <si>
    <t>FMDACI66090000</t>
  </si>
  <si>
    <t>دعامة 60*90</t>
  </si>
  <si>
    <t>FMDACI51520000</t>
  </si>
  <si>
    <t>كوش 152</t>
  </si>
  <si>
    <t>FMDACI51300000</t>
  </si>
  <si>
    <t>كوش 130</t>
  </si>
  <si>
    <t>FMDACI46080000</t>
  </si>
  <si>
    <t>قاعدة بوتجاز 60/80/90</t>
  </si>
  <si>
    <t>FMDACI16080000</t>
  </si>
  <si>
    <t>قوائم بوتجاز 60/80/90</t>
  </si>
  <si>
    <t>اجمالى البوتجازات</t>
  </si>
  <si>
    <t>FMDAHI40000000</t>
  </si>
  <si>
    <t xml:space="preserve">طقم سخان بلونايل </t>
  </si>
  <si>
    <t>FMDAHI5L000000</t>
  </si>
  <si>
    <t xml:space="preserve">سخان غاز6 لتر </t>
  </si>
  <si>
    <t>FMDAHI6000000</t>
  </si>
  <si>
    <t xml:space="preserve">سخان غاز10 لتر </t>
  </si>
  <si>
    <t>FMDAHI30000000</t>
  </si>
  <si>
    <t>طقم سخان زانوسى</t>
  </si>
  <si>
    <t>FMDAHI31000000</t>
  </si>
  <si>
    <t>طقم سخان زانوسى تصدير</t>
  </si>
  <si>
    <t>FMDAHI50000000</t>
  </si>
  <si>
    <t xml:space="preserve">طقم سخان الريان </t>
  </si>
  <si>
    <t>FMDAHI20000000</t>
  </si>
  <si>
    <t>طقم سخان اوليمبيك اليكتريك</t>
  </si>
  <si>
    <t>FMDAHIE0000000</t>
  </si>
  <si>
    <t>طقم سخان ايديال</t>
  </si>
  <si>
    <t>اجمالى السخانات</t>
  </si>
  <si>
    <t>FMLGEI32510000</t>
  </si>
  <si>
    <t>LG32LF51 MFZ64817701</t>
  </si>
  <si>
    <t>FMLGEI43630000</t>
  </si>
  <si>
    <t>LG 43UJ63</t>
  </si>
  <si>
    <t>FMLGEI43510000</t>
  </si>
  <si>
    <t>LG43LH51</t>
  </si>
  <si>
    <t>FMLGEI49630000</t>
  </si>
  <si>
    <t>LG 49UJ63</t>
  </si>
  <si>
    <t>FMLGEI55UK6300</t>
  </si>
  <si>
    <t>LG55UK63</t>
  </si>
  <si>
    <t>FMLGEI43UK6400</t>
  </si>
  <si>
    <t>LG 43 UK 640</t>
  </si>
  <si>
    <t>FMLGEI55UK6400</t>
  </si>
  <si>
    <t>LG 55 UK 640</t>
  </si>
  <si>
    <t>اجمالى ال جي تلفزيون</t>
  </si>
  <si>
    <t>FMLGEI20000000</t>
  </si>
  <si>
    <t>FMLGEI30000000</t>
  </si>
  <si>
    <t>FMLGEI1000000</t>
  </si>
  <si>
    <t>قاعدة LG</t>
  </si>
  <si>
    <t>اجمالى ال جي غسالة</t>
  </si>
  <si>
    <t>FMTOSI40T26000</t>
  </si>
  <si>
    <t xml:space="preserve">TV40L26 TEFG0210030 </t>
  </si>
  <si>
    <t>FMTOSI40B26000</t>
  </si>
  <si>
    <t xml:space="preserve">TV40L26 TEFG0210040 </t>
  </si>
  <si>
    <t>FMTOSI49B03070</t>
  </si>
  <si>
    <t>STTEFH803070  توشيباLED49 L 57</t>
  </si>
  <si>
    <t>FMTOSI49LR3080</t>
  </si>
  <si>
    <t>STTEFH803080  توشيباLED49 L 57</t>
  </si>
  <si>
    <t>FMTOSI49T03060</t>
  </si>
  <si>
    <t>STTEFH803060  توشيباLED49 L 57</t>
  </si>
  <si>
    <t>FMTOSI49B31501</t>
  </si>
  <si>
    <t>LTTEFH315100 توشيباLED49L2700</t>
  </si>
  <si>
    <t>FMTOSI49T31509</t>
  </si>
  <si>
    <t>LTTEFH315090 توشيباLED49L2700</t>
  </si>
  <si>
    <t>FMTOSI55B31512</t>
  </si>
  <si>
    <t>LTTEFH315120 توشيباLED55L2700</t>
  </si>
  <si>
    <t>FMTOSI55T31511</t>
  </si>
  <si>
    <t>LTTEFH315110 توشيباLED55L2700</t>
  </si>
  <si>
    <t>FMTOSI40164030</t>
  </si>
  <si>
    <t>توشيباled40s16403</t>
  </si>
  <si>
    <t>FMTOSI40164040</t>
  </si>
  <si>
    <t>توشيباled40s16404</t>
  </si>
  <si>
    <t>FMTOSI40164050</t>
  </si>
  <si>
    <t>توشيباled40s16405</t>
  </si>
  <si>
    <t>FMTOSI49T31513</t>
  </si>
  <si>
    <t>LRTEFH315130 L7100</t>
  </si>
  <si>
    <t>FMTOSI49B31514</t>
  </si>
  <si>
    <t>LRTEFH315140 L7100</t>
  </si>
  <si>
    <t>FMTOSI49LR31515</t>
  </si>
  <si>
    <t>LRTEFH315150 L7100</t>
  </si>
  <si>
    <t>FMTOSI43T22060</t>
  </si>
  <si>
    <r>
      <t xml:space="preserve">CTTEFJ322060  </t>
    </r>
    <r>
      <rPr>
        <b/>
        <sz val="14"/>
        <color theme="1"/>
        <rFont val="Times New Roman"/>
        <family val="1"/>
      </rPr>
      <t xml:space="preserve">توشيبا </t>
    </r>
    <r>
      <rPr>
        <b/>
        <sz val="14"/>
        <color theme="1"/>
        <rFont val="Calibri"/>
        <family val="2"/>
      </rPr>
      <t>TOP 43L28/43L38/43S28</t>
    </r>
  </si>
  <si>
    <t xml:space="preserve">FMTOSI43B22070 </t>
  </si>
  <si>
    <r>
      <t xml:space="preserve">CTTEFJ322070 </t>
    </r>
    <r>
      <rPr>
        <b/>
        <sz val="14"/>
        <color theme="1"/>
        <rFont val="Times New Roman"/>
        <family val="1"/>
      </rPr>
      <t xml:space="preserve">توشيبا </t>
    </r>
    <r>
      <rPr>
        <b/>
        <sz val="14"/>
        <color theme="1"/>
        <rFont val="Calibri"/>
        <family val="2"/>
      </rPr>
      <t>BOTTOM 43L28/43L38/43S28</t>
    </r>
  </si>
  <si>
    <t>FMTOSI43LR2080</t>
  </si>
  <si>
    <r>
      <t xml:space="preserve">CTTEFJ322080 </t>
    </r>
    <r>
      <rPr>
        <b/>
        <sz val="14"/>
        <color theme="1"/>
        <rFont val="Times New Roman"/>
        <family val="1"/>
      </rPr>
      <t>توشيبا</t>
    </r>
    <r>
      <rPr>
        <b/>
        <sz val="14"/>
        <color theme="1"/>
        <rFont val="Calibri"/>
        <family val="2"/>
      </rPr>
      <t>  LR 43L28/43L38/43S28</t>
    </r>
  </si>
  <si>
    <t>اجمالي توشيبا</t>
  </si>
  <si>
    <t>FMBOXI05B00000</t>
  </si>
  <si>
    <t xml:space="preserve">صندوق سمك 5ك بدون دعامة  B </t>
  </si>
  <si>
    <t>FM000B10180000</t>
  </si>
  <si>
    <t>صندوق 10 ك فلات ك 18 بدون بادج</t>
  </si>
  <si>
    <t>FMBOXI10B00000</t>
  </si>
  <si>
    <t>صندوق سمك 10ك بدون دعامة  B</t>
  </si>
  <si>
    <t>FMBOXI10F00000</t>
  </si>
  <si>
    <t>صندوق سمك 10ك فلات B</t>
  </si>
  <si>
    <t>FMBOXI15B00000</t>
  </si>
  <si>
    <t>صندوق سمك 15ك بدون دعامة</t>
  </si>
  <si>
    <t>FMBOXI25000000</t>
  </si>
  <si>
    <t xml:space="preserve">صندوق سمك 25 ك </t>
  </si>
  <si>
    <t>FMBOXI25F00000</t>
  </si>
  <si>
    <t>صندوق سمك 25ك فلات</t>
  </si>
  <si>
    <t>FMBOXI35000000</t>
  </si>
  <si>
    <t>صندوق سمك 35ك</t>
  </si>
  <si>
    <t>FMBOXI30T00000</t>
  </si>
  <si>
    <t>صندوق سمك التابوت</t>
  </si>
  <si>
    <t>FMBOXI20FN0000</t>
  </si>
  <si>
    <t>صندوق سمك 20ك فلات الجديد</t>
  </si>
  <si>
    <t>FMBOXI23F00000</t>
  </si>
  <si>
    <t>صندوق سمك 23 ك فلات</t>
  </si>
  <si>
    <t>FMBOXI20F00000</t>
  </si>
  <si>
    <t xml:space="preserve">صندوق سمك 20ك فلات </t>
  </si>
  <si>
    <t>FMBOXI20FB0000</t>
  </si>
  <si>
    <t>علبة صندوق سمك 20ك فلات الجديدة</t>
  </si>
  <si>
    <t>FMBOXI20FC0000</t>
  </si>
  <si>
    <t>غطاء صندوق سمك20ك فلات الجديدة</t>
  </si>
  <si>
    <t>FMFLSB25000000</t>
  </si>
  <si>
    <t>صندوق سمك 25ك بنى سويف كثافة 30 فلاش</t>
  </si>
  <si>
    <t>FMBOXI20M00000</t>
  </si>
  <si>
    <t>صندوق سمك 20 ك بادج ميفاك</t>
  </si>
  <si>
    <t>FM000B05000000</t>
  </si>
  <si>
    <t>صندوق سمك 5ك بنى سويف</t>
  </si>
  <si>
    <t>FM000B10000000</t>
  </si>
  <si>
    <t>صندوق سمك 10بنى سويف</t>
  </si>
  <si>
    <t>FM000B15000000</t>
  </si>
  <si>
    <t>صندوق سمك 15بنى سويف</t>
  </si>
  <si>
    <t>FM000B25000000</t>
  </si>
  <si>
    <t xml:space="preserve">صندوق سمك 25ك بنى سويف </t>
  </si>
  <si>
    <t>FM000B10F00000</t>
  </si>
  <si>
    <t>صندوق سمك 10بنى سويف فلات</t>
  </si>
  <si>
    <t>FM000B20B00000</t>
  </si>
  <si>
    <t>صندوق  20ك بني سويف بروكلى</t>
  </si>
  <si>
    <t>FMBOXB25900000</t>
  </si>
  <si>
    <t>     صندوق 25ك بنى سويف 900 جرام</t>
  </si>
  <si>
    <t>FMBOXB25750000</t>
  </si>
  <si>
    <t>سمك 25ك بني سويف750 جرام</t>
  </si>
  <si>
    <t>اجمالى السمك</t>
  </si>
  <si>
    <t>FMENCI10000000</t>
  </si>
  <si>
    <t>سخان فرنساوي وسط</t>
  </si>
  <si>
    <t>FMENCI20000000</t>
  </si>
  <si>
    <t>كفر سخان فرنساوى 085</t>
  </si>
  <si>
    <t>FMENCI30000000</t>
  </si>
  <si>
    <t>قاعدة سخان فرنساوى 086</t>
  </si>
  <si>
    <t>FMENCI40000000</t>
  </si>
  <si>
    <t>حماية العداد</t>
  </si>
  <si>
    <t>FMENCI50000000</t>
  </si>
  <si>
    <t xml:space="preserve">سخان وسط هندى </t>
  </si>
  <si>
    <t>اجمالى الشركه الهندسيه</t>
  </si>
  <si>
    <t>FMEGPIM1292000</t>
  </si>
  <si>
    <t>مثمن 129 علوي</t>
  </si>
  <si>
    <t>FMEGPIM1291000</t>
  </si>
  <si>
    <t>مثمن 129 سفلي</t>
  </si>
  <si>
    <t>FMEGPIP1242000</t>
  </si>
  <si>
    <t>فوم بورسلين 124 علوى K</t>
  </si>
  <si>
    <t>FMEGPIP1241000</t>
  </si>
  <si>
    <t>فوم بورسلين 124 سفلى K</t>
  </si>
  <si>
    <r>
      <t>FMEGPIK0000000</t>
    </r>
    <r>
      <rPr>
        <b/>
        <sz val="16"/>
        <color theme="1"/>
        <rFont val="Arial"/>
        <family val="2"/>
      </rPr>
      <t> </t>
    </r>
  </si>
  <si>
    <t>طقم كانزاى</t>
  </si>
  <si>
    <r>
      <t>FMEGPIT0000000</t>
    </r>
    <r>
      <rPr>
        <b/>
        <sz val="16"/>
        <color theme="1"/>
        <rFont val="Arial"/>
        <family val="2"/>
      </rPr>
      <t>  </t>
    </r>
  </si>
  <si>
    <t>طقم تى شيب</t>
  </si>
  <si>
    <t>اجمالي الالمانية</t>
  </si>
  <si>
    <t>FMZANI10000000</t>
  </si>
  <si>
    <t>زانوسي وسط</t>
  </si>
  <si>
    <t>FMZANI20000000</t>
  </si>
  <si>
    <t>زانوسي قاعدة</t>
  </si>
  <si>
    <t>FMZANI30000000</t>
  </si>
  <si>
    <t>زانوسي كفر</t>
  </si>
  <si>
    <t>اجمالى مصر للكباسات</t>
  </si>
  <si>
    <t>كالون الاهرام كبير</t>
  </si>
  <si>
    <t>FMAHSI20000000</t>
  </si>
  <si>
    <t>كالون الاهرام صغير</t>
  </si>
  <si>
    <t>FMAHSI30000000</t>
  </si>
  <si>
    <t>كالون الاهرام دوبل</t>
  </si>
  <si>
    <t>اجمالى الاهرام لنظم الامان</t>
  </si>
  <si>
    <t>FMSMSI5L000000</t>
  </si>
  <si>
    <t>كوشة كبيرة</t>
  </si>
  <si>
    <t>FMSMSI5S000000</t>
  </si>
  <si>
    <t>كوشة صغيرة</t>
  </si>
  <si>
    <t>FMSMSI20000000</t>
  </si>
  <si>
    <t>قوائم فريش</t>
  </si>
  <si>
    <t>اجمالى فريش</t>
  </si>
  <si>
    <t>FMGREI10000000</t>
  </si>
  <si>
    <t>كشاف الطوارئ جراند 1</t>
  </si>
  <si>
    <t>كشاف الطوارئ جراند  2</t>
  </si>
  <si>
    <t>صاعق ناموس</t>
  </si>
  <si>
    <t>FMGREI30000000</t>
  </si>
  <si>
    <t>كشاف جراند بلاستيك</t>
  </si>
  <si>
    <t>FMGREI40000000</t>
  </si>
  <si>
    <t xml:space="preserve">LEDكشاف جراند </t>
  </si>
  <si>
    <t>اجمالى جراند اليكترونيك</t>
  </si>
  <si>
    <t>FMEGFIE3000000</t>
  </si>
  <si>
    <t>مكواه ايفرنال كبيرة</t>
  </si>
  <si>
    <t>مكواه ايفرنال صغيرة</t>
  </si>
  <si>
    <t>مروحة بوكس ايفرنال</t>
  </si>
  <si>
    <t>FMEGFIE1000000</t>
  </si>
  <si>
    <t>طقم فرن ايفرنال</t>
  </si>
  <si>
    <t>FMEGFIE2000000</t>
  </si>
  <si>
    <t>دفاية ايفرنال 2</t>
  </si>
  <si>
    <t>اجمالى ايفرنال</t>
  </si>
  <si>
    <t>علبة مفتاح ترانس الفاتح</t>
  </si>
  <si>
    <t>علبة مفتاح جونسر</t>
  </si>
  <si>
    <t>مفتاح جاد</t>
  </si>
  <si>
    <t>مفتاح سارة 10</t>
  </si>
  <si>
    <t>مفتاح سارة 20</t>
  </si>
  <si>
    <t>مفتاح جاد بدون بادج</t>
  </si>
  <si>
    <t>علبة تايمر</t>
  </si>
  <si>
    <t>علبة موتور</t>
  </si>
  <si>
    <t>مفتاح كمثرى</t>
  </si>
  <si>
    <t>اميكو بولو الجديد</t>
  </si>
  <si>
    <t>FMAMTI30000000</t>
  </si>
  <si>
    <t>مفتاح دومو</t>
  </si>
  <si>
    <t>اميكو كمثرى</t>
  </si>
  <si>
    <t>مفتاح مارلين</t>
  </si>
  <si>
    <t>مفتاح مارلين بدون بادج</t>
  </si>
  <si>
    <t>مفتاح ارضي</t>
  </si>
  <si>
    <t>اجمالى المفاتيح</t>
  </si>
  <si>
    <t>قزامل 12 طقم</t>
  </si>
  <si>
    <t>طقم شربات 2*1</t>
  </si>
  <si>
    <t>طقم كاسات طويلة</t>
  </si>
  <si>
    <t>طقم كاسات قصيرة</t>
  </si>
  <si>
    <t>اجمالى السمنودى</t>
  </si>
  <si>
    <t>FMGNTB30000000</t>
  </si>
  <si>
    <t>مروحة جنرال تك</t>
  </si>
  <si>
    <t>جنرال تك 14</t>
  </si>
  <si>
    <t>جنرال تك 21</t>
  </si>
  <si>
    <t>اجمالى جنرال تك</t>
  </si>
  <si>
    <t>FMALSI40000000</t>
  </si>
  <si>
    <t>طقم عوازل ثلاجة الاسكا</t>
  </si>
  <si>
    <t>FMALSI10000000</t>
  </si>
  <si>
    <t>درج الاسكا</t>
  </si>
  <si>
    <t>عازل ثلاجة الاسكا</t>
  </si>
  <si>
    <t>FMALSI30000000</t>
  </si>
  <si>
    <t>فوم حوض مبخر الاسكا</t>
  </si>
  <si>
    <t>اجمالى الاسكا</t>
  </si>
  <si>
    <t>مكنسة 1800</t>
  </si>
  <si>
    <t>مكنسة 1400</t>
  </si>
  <si>
    <t>غسالة 7ك نيو اوتو</t>
  </si>
  <si>
    <t>غسالة بيبي اطفال نيو اوتو</t>
  </si>
  <si>
    <t>FMNAMI60000000</t>
  </si>
  <si>
    <t>غسالة نيو اوتو 6 ك</t>
  </si>
  <si>
    <t>FMNAMI9000000</t>
  </si>
  <si>
    <t>غسالة نيو اوتو 9ك</t>
  </si>
  <si>
    <t>اجمالى نيو اوتو</t>
  </si>
  <si>
    <t>مكواه نوفال بخار</t>
  </si>
  <si>
    <t>مكواه نوفال 56</t>
  </si>
  <si>
    <t>مروحة نوفال 48</t>
  </si>
  <si>
    <t>اجمالى نوفال</t>
  </si>
  <si>
    <t>FMELHI12000000</t>
  </si>
  <si>
    <t>قاعدة سخان 20EGك</t>
  </si>
  <si>
    <t>FMELHI72000000</t>
  </si>
  <si>
    <t>كفر سخان 20EGك</t>
  </si>
  <si>
    <t>FMELHI92000000</t>
  </si>
  <si>
    <t>تغليف فوم جزء وسط سخان EG ك 20</t>
  </si>
  <si>
    <t>FMELHI82000000</t>
  </si>
  <si>
    <t>حماية سخان 20EGك</t>
  </si>
  <si>
    <t>قاعدة سخان 35EGك</t>
  </si>
  <si>
    <t>كفر سخان 35EG ك</t>
  </si>
  <si>
    <t>FMELHI16000000</t>
  </si>
  <si>
    <t>قاعدة 60 EG</t>
  </si>
  <si>
    <t>FMELHI19000000</t>
  </si>
  <si>
    <t>قاعدة 90 EG</t>
  </si>
  <si>
    <t>FMELHI26090000</t>
  </si>
  <si>
    <t>قوائم 60/90 EG</t>
  </si>
  <si>
    <t>FMELHI59000000</t>
  </si>
  <si>
    <t>كوش  بوتجاز 90 EG</t>
  </si>
  <si>
    <t>FMELHI56000000</t>
  </si>
  <si>
    <t>كوش  بوتجاز  60    EG</t>
  </si>
  <si>
    <t>احمالى الهندسيه للسخانات</t>
  </si>
  <si>
    <t>FMROGI20000000</t>
  </si>
  <si>
    <t>فوم طقم رويال جاز المعدل</t>
  </si>
  <si>
    <t>FMTRDI10000000</t>
  </si>
  <si>
    <t>قاعدة ديب فريزر تكنوبول</t>
  </si>
  <si>
    <t>FMAFTI10000000</t>
  </si>
  <si>
    <t>(إفتا)S1B1 1754501</t>
  </si>
  <si>
    <t>FMAFTI20000000</t>
  </si>
  <si>
    <t>(إفتا)S1B1 1755301</t>
  </si>
  <si>
    <t>FMAFTI30000000</t>
  </si>
  <si>
    <t>(إفتا)S1B1 3397201</t>
  </si>
  <si>
    <t>FMAFTI40000000</t>
  </si>
  <si>
    <t>(إفتا)SAB  2047101</t>
  </si>
  <si>
    <t>FMWPDI10000000</t>
  </si>
  <si>
    <t>طقم تغليف بوتجاز مسطح(الواحة)</t>
  </si>
  <si>
    <t>FMWPDI20000000</t>
  </si>
  <si>
    <t>طقم فرن الواحة</t>
  </si>
  <si>
    <t>كشاف طوارئ الامير</t>
  </si>
  <si>
    <t>FMSAAI00000000</t>
  </si>
  <si>
    <t>عوامة ساني اكليرك</t>
  </si>
  <si>
    <t>درج لافيل</t>
  </si>
  <si>
    <t>FMBRGIK0000000</t>
  </si>
  <si>
    <t>ثلاجة برجن كوري</t>
  </si>
  <si>
    <t>ثلاجة برجن صيني</t>
  </si>
  <si>
    <t>أكصدام 1</t>
  </si>
  <si>
    <t>أكصدام 2</t>
  </si>
  <si>
    <t>بوتجاز كريستال</t>
  </si>
  <si>
    <t>علبة بلاست</t>
  </si>
  <si>
    <t>طقم سخان المتحدة 10 لتر</t>
  </si>
  <si>
    <t>طقم فوم الامان</t>
  </si>
  <si>
    <t>طقم فواحة استاند</t>
  </si>
  <si>
    <t>كشاف طوارئSMCتاور</t>
  </si>
  <si>
    <t>متنوعون</t>
  </si>
  <si>
    <t>FMSEDI00000000</t>
  </si>
  <si>
    <t>صندوق فوم انسولين بدون بادج</t>
  </si>
  <si>
    <t>FMVICI00000000</t>
  </si>
  <si>
    <t>صندوق فاكسيرا</t>
  </si>
  <si>
    <t>صندوق فوم بدون بادج</t>
  </si>
  <si>
    <t>اجمالى ليلى مصر</t>
  </si>
  <si>
    <t>FMBOXIG0000000</t>
  </si>
  <si>
    <t>صندوق عنب</t>
  </si>
  <si>
    <t>FMBOXIV3040090</t>
  </si>
  <si>
    <t>صندوق خضار 30*40*9</t>
  </si>
  <si>
    <t>FMBOXIV4060850</t>
  </si>
  <si>
    <t>صندوق خضار 40*60*8.5</t>
  </si>
  <si>
    <t>FMINBI00000000</t>
  </si>
  <si>
    <t>صندوق خضار 30*40*13</t>
  </si>
  <si>
    <t>FMCOFI10000000</t>
  </si>
  <si>
    <t>صندوق خضار 40*60*17</t>
  </si>
  <si>
    <t>صندوق خضار كومي فارم بدون بادج</t>
  </si>
  <si>
    <t>اجمالى صناديق الخضار</t>
  </si>
  <si>
    <t>FMSEEI20900000</t>
  </si>
  <si>
    <t>شتلات</t>
  </si>
  <si>
    <t>FMSEEI84000000</t>
  </si>
  <si>
    <t>شتلات 84</t>
  </si>
  <si>
    <t>FMSEEIDS000000</t>
  </si>
  <si>
    <t xml:space="preserve">شتلات سمارت </t>
  </si>
  <si>
    <t>FMSEKB150N0000</t>
  </si>
  <si>
    <t>شتلات 150 سيكم بدون بادج</t>
  </si>
  <si>
    <t>FM000BDS000000</t>
  </si>
  <si>
    <t>شتلات سمارت بنى سويف</t>
  </si>
  <si>
    <t>FMESNB150N0000</t>
  </si>
  <si>
    <t>شتالة 150 عين اسنا</t>
  </si>
  <si>
    <t>اجمالى الشتلات</t>
  </si>
  <si>
    <t>FMFIRI20000000</t>
  </si>
  <si>
    <t>ايس كريم كينج</t>
  </si>
  <si>
    <t>FMFIRI30000000</t>
  </si>
  <si>
    <t>ايس كريم البرنس</t>
  </si>
  <si>
    <t>FMFIRI40000000</t>
  </si>
  <si>
    <t>ايس كريم كساتا</t>
  </si>
  <si>
    <t>FMFIRI50000000</t>
  </si>
  <si>
    <t>ايس كريم مينون</t>
  </si>
  <si>
    <t>FMFIRI60000000</t>
  </si>
  <si>
    <t>ايس كريم فاشون</t>
  </si>
  <si>
    <t>FM000B30100000</t>
  </si>
  <si>
    <t>علبة تورتة 30*10</t>
  </si>
  <si>
    <t>FM000B30150000</t>
  </si>
  <si>
    <t>علبة تورتة 30*15</t>
  </si>
  <si>
    <t>اجمالى فرست للتجارة</t>
  </si>
  <si>
    <t>FMEJLI00000000</t>
  </si>
  <si>
    <t>علبة دواء ايجيل</t>
  </si>
  <si>
    <t xml:space="preserve">غطاء علبة دواء </t>
  </si>
  <si>
    <t>FMNHGI60000000</t>
  </si>
  <si>
    <t>طقم مبرد هواء 60 لتر</t>
  </si>
  <si>
    <t>FMNHGI20000000</t>
  </si>
  <si>
    <t>طقم مبرد هواء 20 لتر</t>
  </si>
  <si>
    <t>FMNHGI50000016</t>
  </si>
  <si>
    <t>مبرد 70 لتر ك16</t>
  </si>
  <si>
    <t>FMNHGI70000020</t>
  </si>
  <si>
    <t xml:space="preserve">مبرد 70 لتر ك 20 </t>
  </si>
  <si>
    <t>FM000ID00000000</t>
  </si>
  <si>
    <t>طقم الدش</t>
  </si>
  <si>
    <t>FM000IT00000000</t>
  </si>
  <si>
    <t>كاشف تحاليل</t>
  </si>
  <si>
    <t>FMMONI32000000</t>
  </si>
  <si>
    <t>D.LED32 مون استون</t>
  </si>
  <si>
    <t>D.LED42 مون استون</t>
  </si>
  <si>
    <t>FMMONI40000000</t>
  </si>
  <si>
    <t>LED40 مون استون</t>
  </si>
  <si>
    <t>FMNHGI50000000</t>
  </si>
  <si>
    <t>طقم مبرد هواء 50 لتر</t>
  </si>
  <si>
    <t>طقم مجرى هواء مبرد 50 لتر</t>
  </si>
  <si>
    <t>FMNHGIFD000000</t>
  </si>
  <si>
    <t>طقم فوم جهاز حماية FD</t>
  </si>
  <si>
    <t>اجمالى متنوعون</t>
  </si>
  <si>
    <t>FMSKYB22000000</t>
  </si>
  <si>
    <t>سكاى LED22</t>
  </si>
  <si>
    <t>سكاى LCD14</t>
  </si>
  <si>
    <t>FMIMSI00000000</t>
  </si>
  <si>
    <t>راك امبول</t>
  </si>
  <si>
    <t>FMHAMI00000000</t>
  </si>
  <si>
    <t>طقم خلاط براون</t>
  </si>
  <si>
    <t>FMEGFI32000000</t>
  </si>
  <si>
    <t>طقم المصنع المصرى LED32</t>
  </si>
  <si>
    <t>FMOTEIC0000000</t>
  </si>
  <si>
    <t>طقم تغليف كاسيت نيسان</t>
  </si>
  <si>
    <t>FMCRSB81850000</t>
  </si>
  <si>
    <t>فوم نجفة 8 / 185 كرستال عصفور</t>
  </si>
  <si>
    <t>FMSCOI10000000</t>
  </si>
  <si>
    <t xml:space="preserve">طقم تغليف ميكروسكوب شومان </t>
  </si>
  <si>
    <t>إجمالى إسطمبات مخزن بلوك</t>
  </si>
  <si>
    <t>FX35EP00200000</t>
  </si>
  <si>
    <t>شريحة زرقاء آيزوفوم 2سم ك35 بدون شفة</t>
  </si>
  <si>
    <t>FX35IF00300000</t>
  </si>
  <si>
    <t>شريحة زرقاء آيزوفوم 3سم ك35 بدون شفة</t>
  </si>
  <si>
    <t>FX35IF00400000</t>
  </si>
  <si>
    <r>
      <t xml:space="preserve"> </t>
    </r>
    <r>
      <rPr>
        <b/>
        <sz val="14"/>
        <rFont val="Arial"/>
        <family val="2"/>
      </rPr>
      <t>شريحة زرقاء آيزوفوم 4سم ك35 بدون شفة</t>
    </r>
  </si>
  <si>
    <t>FX35IF01500000</t>
  </si>
  <si>
    <t>شريحة زرقاء آيزوفوم 5سم ك35 بدون شفة</t>
  </si>
  <si>
    <t>FX35IF00600000</t>
  </si>
  <si>
    <t>شريحة زرقاء آيزوفوم 6سم ك35 بدون شفة</t>
  </si>
  <si>
    <t>FX35IF00800000</t>
  </si>
  <si>
    <t>شريحة زرقاء آيزوفوم 8سم ك35 بدون شفة</t>
  </si>
  <si>
    <t>FX35IF00500000</t>
  </si>
  <si>
    <t>شريحة زرقاء آيزوفوم 5سم ك35 بشفة</t>
  </si>
  <si>
    <t>FX35IF01300000</t>
  </si>
  <si>
    <t>شريحة زرقاء آيزوفوم 3سم ك35 بشفة</t>
  </si>
  <si>
    <t>FX35IF01400000</t>
  </si>
  <si>
    <t>شريحة زرقاء آيزوفوم 4سم ك35 بشفة</t>
  </si>
  <si>
    <t>FX35IF02300000</t>
  </si>
  <si>
    <t xml:space="preserve">شريحة زرقاء آيزوفوم 3سم ك35 من اربعة اتجاهات </t>
  </si>
  <si>
    <t>FX35IF02400000</t>
  </si>
  <si>
    <t xml:space="preserve">شريحة زرقاء آيزوفوم 4سم ك35 من اربعة اتجاهات </t>
  </si>
  <si>
    <t>FX35IF02500000</t>
  </si>
  <si>
    <t xml:space="preserve">شريحة زرقاء آيزوفوم 5سم ك35 من اربعة اتجاهات </t>
  </si>
  <si>
    <t>FX40IF01500000</t>
  </si>
  <si>
    <t>شريحة زرقاء آيزوفوم 5سم ك40 بشفة</t>
  </si>
  <si>
    <t>FX35EP01300000</t>
  </si>
  <si>
    <t xml:space="preserve">شريحة زرقاء مشكل بالبثق 3سم ك35 بشفة </t>
  </si>
  <si>
    <t>FX35EP01400000</t>
  </si>
  <si>
    <t xml:space="preserve">شريحة زرقاء مشكل بالبثق 4سم ك35 بشفة </t>
  </si>
  <si>
    <t>FX35EP01500000</t>
  </si>
  <si>
    <t xml:space="preserve">شريحة زرقاء مشكل بالبثق 5سم ك35 بشفة </t>
  </si>
  <si>
    <t>FX35EP00300000</t>
  </si>
  <si>
    <t xml:space="preserve">شريحة زرقاء مشكل بالبثق 3سم ك35 بدون شفة </t>
  </si>
  <si>
    <t>FX35EP00400000</t>
  </si>
  <si>
    <t xml:space="preserve">شريحة زرقاء مشكل بالبثق 4سم ك35 بدون شفة </t>
  </si>
  <si>
    <t>FX35EP00500000</t>
  </si>
  <si>
    <t xml:space="preserve">شريحة زرقاء مشكل بالبثق 5سم ك35 بدون شفة </t>
  </si>
  <si>
    <t>FX35EP00600000</t>
  </si>
  <si>
    <t xml:space="preserve">شريحة زرقاء مشكل بالبثق 6سم ك35 بدون شفة </t>
  </si>
  <si>
    <t>FX35BF01200000</t>
  </si>
  <si>
    <t xml:space="preserve">شريحة زرقاء بلوفوم 2سم ك35 بشفة </t>
  </si>
  <si>
    <t>FX35BF01300000</t>
  </si>
  <si>
    <t xml:space="preserve">شريحة زرقاء بلوفوم 3سم ك35 بشفة </t>
  </si>
  <si>
    <t>FX35BF01400000</t>
  </si>
  <si>
    <t xml:space="preserve">شريحة زرقاء بلوفوم 4سم ك35 بشفة </t>
  </si>
  <si>
    <t>FX35BF01500000</t>
  </si>
  <si>
    <t xml:space="preserve">شريحة زرقاء بلوفوم 5سم ك35 بشفة </t>
  </si>
  <si>
    <t>FX35BF02400000</t>
  </si>
  <si>
    <t xml:space="preserve">شريحة زرقاء بلوفوم 4سم ك35 من اربعة اتجاهات </t>
  </si>
  <si>
    <t>FX35BF02500000</t>
  </si>
  <si>
    <t xml:space="preserve">شريحة زرقاء بلوفوم 5سم ك35 من اربعة اتجاهات </t>
  </si>
  <si>
    <t>FX35BF02700000</t>
  </si>
  <si>
    <t xml:space="preserve">شريحة زرقاء بلوفوم 7سم ك35 من اربعة اتجاهات </t>
  </si>
  <si>
    <t>FX35BF00300000</t>
  </si>
  <si>
    <t xml:space="preserve">شريحة زرقاء بلوفوم 3سم ك35 بدون شفة </t>
  </si>
  <si>
    <t>FX35BF00400000</t>
  </si>
  <si>
    <t xml:space="preserve">شريحة زرقاء بلوفوم 4سم ك35 بدون شفة </t>
  </si>
  <si>
    <t>FX35BF00500000</t>
  </si>
  <si>
    <t xml:space="preserve">شريحة زرقاء بلوفوم 5سم ك35 بدون شفة </t>
  </si>
  <si>
    <t>FX35EG01300000</t>
  </si>
  <si>
    <t>شريحة زرقاء 3سم بشفة المصرى</t>
  </si>
  <si>
    <t>FX35EG01400000</t>
  </si>
  <si>
    <t>شريحة زرقاء 5سم بدون شفة المصرى</t>
  </si>
  <si>
    <t>FX35EG01500000</t>
  </si>
  <si>
    <t>شريحة زرقاء 5سم بشفة المصرى</t>
  </si>
  <si>
    <t>FX35EG01400001</t>
  </si>
  <si>
    <t>شريحة زرقاء 4سم بشفة المصرى</t>
  </si>
  <si>
    <t>FX35IT01500000</t>
  </si>
  <si>
    <t xml:space="preserve">الفوم الازرق 5سم بشفة </t>
  </si>
  <si>
    <t>FX35IT01300000</t>
  </si>
  <si>
    <t xml:space="preserve">الفوم الازرق 3سم بشفة </t>
  </si>
  <si>
    <t>شريحة زرقاء آيزوفوم 3سم ك35 بشفة تصدير</t>
  </si>
  <si>
    <t>شريحة زرقاء آيزوفوم 4سم ك35 بشفة تصدير</t>
  </si>
  <si>
    <t>FX35IF00400125</t>
  </si>
  <si>
    <t>شريحة زرقاء آيزوفوم 4سم ك35 بشفة (125*60*4سم) تصدير</t>
  </si>
  <si>
    <t>شريحة زرقاء آيزوفوم 3سم ك35 بشفة (250*60*3سم) تصدير</t>
  </si>
  <si>
    <t>FX35IF01500121</t>
  </si>
  <si>
    <t>شريحة زرقاء آيزوفوم 5سم ك35 بشفة (121.5*61*5سم) تصدير</t>
  </si>
  <si>
    <t>FX35IF01500125</t>
  </si>
  <si>
    <t>شريحة زرقاء آيزوفوم 5سم ك35 بشفة (125*60*5سم) تصدير</t>
  </si>
  <si>
    <t>FX35IF01500250</t>
  </si>
  <si>
    <t>شريحة زرقاء آيزوفوم 5سم ك35 بشفة (250*60*5سم) تصدير</t>
  </si>
  <si>
    <t>شريحة زرقاء آيزوفوم 7سم ك35 بشفة (250*60*7سم) تصدير</t>
  </si>
  <si>
    <t>FX35IF02300121</t>
  </si>
  <si>
    <t>شريحة آيزوفوم 3سم ك35 بشفة 4اتجاهات (121.5*61*3سم) تصدير</t>
  </si>
  <si>
    <t>شريحة آيزوفوم 3سم ك35 بشفة 4اتجاهات (125*60*3سم) تصدير</t>
  </si>
  <si>
    <t>FX35IF02512560</t>
  </si>
  <si>
    <t>شريحة آيزوفوم 5سم ك35 بشفة 4اتجاهات (125*60*5سم) تصدير</t>
  </si>
  <si>
    <t>FX35IF00300125</t>
  </si>
  <si>
    <t>شريحة زرقاء آيزوفوم 3سم ك35 بدون شفة (125*60*3سم) تصدير</t>
  </si>
  <si>
    <t>شريحة زرقاء آيزوفوم 4سم ك35 بدون شفة (125*60*4سم) تصدير</t>
  </si>
  <si>
    <t>FX35IF00500125</t>
  </si>
  <si>
    <t>شريحة زرقاء آيزوفوم 5سم ك35 بدون شفة (125*60*5سم) تصدير</t>
  </si>
  <si>
    <t>FX35IF02500250</t>
  </si>
  <si>
    <t>شرائح ايزوفوم ك35 5سم بشفة أربعة اتجاهات مقاس 250*60*5سم تصدير</t>
  </si>
  <si>
    <t xml:space="preserve">اجمالى ايزو فوم </t>
  </si>
  <si>
    <t>FB07P000000000</t>
  </si>
  <si>
    <t xml:space="preserve">ك L.S </t>
  </si>
  <si>
    <t>FB11P100000000</t>
  </si>
  <si>
    <t>سوبر ص</t>
  </si>
  <si>
    <t>FB11P200000000</t>
  </si>
  <si>
    <t>سوبر ش</t>
  </si>
  <si>
    <t>FB87S000000000</t>
  </si>
  <si>
    <t>ك سوبر ستارز</t>
  </si>
  <si>
    <t>FB14P000000000</t>
  </si>
  <si>
    <t>ك 14 بيور</t>
  </si>
  <si>
    <t>FB17P000000000</t>
  </si>
  <si>
    <t>ك 17 بيور</t>
  </si>
  <si>
    <t>FB20P000000000</t>
  </si>
  <si>
    <t>ك 20 بيور</t>
  </si>
  <si>
    <t>FB23P000000000</t>
  </si>
  <si>
    <t>ك 23بيور</t>
  </si>
  <si>
    <t>FB25P000000000</t>
  </si>
  <si>
    <t>ك 25 بيور</t>
  </si>
  <si>
    <t>FB30P000000000</t>
  </si>
  <si>
    <t>ك 30 بيور</t>
  </si>
  <si>
    <t>FB35P000000000</t>
  </si>
  <si>
    <t>ك 35 بيور</t>
  </si>
  <si>
    <t>FB14O000000000</t>
  </si>
  <si>
    <t>ك14 O</t>
  </si>
  <si>
    <t>FB17O000000000</t>
  </si>
  <si>
    <t>ك17 O</t>
  </si>
  <si>
    <t>FB20O000000000</t>
  </si>
  <si>
    <t>ك20 O</t>
  </si>
  <si>
    <t>FB25O000000000</t>
  </si>
  <si>
    <t>ك25 O</t>
  </si>
  <si>
    <t>FB30O000000000</t>
  </si>
  <si>
    <t>ك30 O</t>
  </si>
  <si>
    <t>FB35O000000000</t>
  </si>
  <si>
    <t>ك35 O</t>
  </si>
  <si>
    <t>FB30O100000000</t>
  </si>
  <si>
    <t>ك ش الجيش</t>
  </si>
  <si>
    <t>item</t>
  </si>
  <si>
    <t>الوردية</t>
  </si>
  <si>
    <t>اجمالى الانتاج</t>
  </si>
  <si>
    <t>المرتجع</t>
  </si>
  <si>
    <t>تحويل</t>
  </si>
  <si>
    <t>تحويل الى</t>
  </si>
  <si>
    <t>منصرف</t>
  </si>
  <si>
    <t>رصيد بلوك</t>
  </si>
  <si>
    <t>عبوة</t>
  </si>
  <si>
    <t>عدد</t>
  </si>
  <si>
    <t>عدداكياس</t>
  </si>
  <si>
    <t>رصيدالمخزن</t>
  </si>
  <si>
    <t xml:space="preserve">حجم الاستلام </t>
  </si>
  <si>
    <t xml:space="preserve">حجم التحميل </t>
  </si>
  <si>
    <t>حجم الارتجاع</t>
  </si>
  <si>
    <t>الاولى</t>
  </si>
  <si>
    <t>الثانية</t>
  </si>
  <si>
    <t>وارد</t>
  </si>
  <si>
    <t>صادر</t>
  </si>
  <si>
    <t>الكسارة</t>
  </si>
  <si>
    <t>العملاء</t>
  </si>
  <si>
    <t>الكيس</t>
  </si>
  <si>
    <t>الاكياس</t>
  </si>
  <si>
    <t>الاستلام</t>
  </si>
  <si>
    <t>التحميل</t>
  </si>
  <si>
    <t>بالمتر المكعب</t>
  </si>
  <si>
    <t>حجم</t>
  </si>
  <si>
    <t>الوحدة</t>
  </si>
  <si>
    <t>طقم</t>
  </si>
  <si>
    <t>الرصيد</t>
  </si>
  <si>
    <t>اول المدة</t>
  </si>
  <si>
    <t>م</t>
  </si>
  <si>
    <t>اسم العميل</t>
  </si>
  <si>
    <t>المكونات الصناعية</t>
  </si>
  <si>
    <t>البوتجازات</t>
  </si>
  <si>
    <t>الشركة الهندسية</t>
  </si>
  <si>
    <t>مصر الكباسات</t>
  </si>
  <si>
    <t>الاهرام لنظم الامان</t>
  </si>
  <si>
    <t>فرش</t>
  </si>
  <si>
    <t>جراند</t>
  </si>
  <si>
    <t>المصنع المصرى للصناعة</t>
  </si>
  <si>
    <t>الفاتح الالكترونية</t>
  </si>
  <si>
    <t>المصرية التركية</t>
  </si>
  <si>
    <t>العاشر للصناعات الكهربائية</t>
  </si>
  <si>
    <t>الشركة العربية</t>
  </si>
  <si>
    <t>امكو</t>
  </si>
  <si>
    <t>السمنودي</t>
  </si>
  <si>
    <t>جنرال تك</t>
  </si>
  <si>
    <t>الاجمالى</t>
  </si>
  <si>
    <t>الاسكا</t>
  </si>
  <si>
    <t>نيو اوتو</t>
  </si>
  <si>
    <t>نوفال</t>
  </si>
  <si>
    <t xml:space="preserve">الهندسية للسخانات </t>
  </si>
  <si>
    <t>تريدكو</t>
  </si>
  <si>
    <t>افتا</t>
  </si>
  <si>
    <t>الامير</t>
  </si>
  <si>
    <t>ساني اكليريك</t>
  </si>
  <si>
    <t>ايبكو</t>
  </si>
  <si>
    <t>برجن</t>
  </si>
  <si>
    <t>المتحدة للسخانات</t>
  </si>
  <si>
    <t>كفر غسالة L G</t>
  </si>
  <si>
    <t>جوانب غسالة L G</t>
  </si>
  <si>
    <t>قم بالادخال ثم اضغط ترحيل البيانات</t>
  </si>
  <si>
    <t>مكان التخزين</t>
  </si>
  <si>
    <t>مخزن الدور العلوي</t>
  </si>
  <si>
    <t>مخزن صناديق السمك</t>
  </si>
  <si>
    <t>Up</t>
  </si>
  <si>
    <t>مخزن السطح</t>
  </si>
  <si>
    <t>تاريخ اليوم</t>
  </si>
  <si>
    <t>الشيت في بداية اليوم الجديد سيقوم تلقائيا بترحيل البيانات وتجهيز الشيت الجديد</t>
  </si>
  <si>
    <t>ترحيل الآن</t>
  </si>
  <si>
    <t>المساحة</t>
  </si>
  <si>
    <t>المساحة المتبقية</t>
  </si>
  <si>
    <t>المساحة الكلية</t>
  </si>
  <si>
    <t>تاريخ التخزين</t>
  </si>
  <si>
    <t>الصرف</t>
  </si>
  <si>
    <t>قائمة الصناف في الاماكن</t>
  </si>
  <si>
    <t>للصقها في خانة الرصيد</t>
  </si>
  <si>
    <t>المربع</t>
  </si>
  <si>
    <t>الموقع</t>
  </si>
  <si>
    <t>مخزن البلوكات</t>
  </si>
  <si>
    <t>مساحة المخزن</t>
  </si>
  <si>
    <t>مخزن الاسطمبات الدور الثاني</t>
  </si>
  <si>
    <t>مخزن الاسطمبات الدور الثالث</t>
  </si>
  <si>
    <t>المخزن</t>
  </si>
  <si>
    <t>مكان التخزين 1</t>
  </si>
  <si>
    <t>مكان التخزين 2</t>
  </si>
  <si>
    <t>مكان التخزين 3</t>
  </si>
  <si>
    <t>اسم المخزن</t>
  </si>
  <si>
    <t>المربع التخزيني</t>
  </si>
  <si>
    <t>كود الصنف</t>
  </si>
  <si>
    <t>الرصيد المخزن</t>
  </si>
  <si>
    <t>حجم الكيس</t>
  </si>
  <si>
    <t>مساحة المربع التخزيني</t>
  </si>
  <si>
    <t>عدد الاكياس</t>
  </si>
  <si>
    <t>مساحة المربع</t>
  </si>
  <si>
    <t>الكمية المراد صرفها</t>
  </si>
  <si>
    <t>قم بالصرف</t>
  </si>
  <si>
    <t>زر</t>
  </si>
  <si>
    <t>الموقف</t>
  </si>
  <si>
    <t>مقارنة موقف الرصيد ما بين input ، location items</t>
  </si>
  <si>
    <t>ادخال</t>
  </si>
  <si>
    <t>صراف</t>
  </si>
  <si>
    <t>تاريخ التعديل</t>
  </si>
  <si>
    <r>
      <t xml:space="preserve">                  FB 2000  </t>
    </r>
    <r>
      <rPr>
        <b/>
        <sz val="11"/>
        <rFont val="Arial"/>
        <family val="2"/>
      </rPr>
      <t>عازل فوم B</t>
    </r>
  </si>
  <si>
    <r>
      <t xml:space="preserve">                  D D V 2000    </t>
    </r>
    <r>
      <rPr>
        <b/>
        <sz val="11"/>
        <rFont val="Arial"/>
        <family val="2"/>
      </rPr>
      <t>عازل فوم الدعامة الوسطى DF10</t>
    </r>
  </si>
  <si>
    <r>
      <t xml:space="preserve">                  D D V 340  </t>
    </r>
    <r>
      <rPr>
        <b/>
        <sz val="11"/>
        <rFont val="Arial"/>
        <family val="2"/>
      </rPr>
      <t>عازل فوم الدعامة الوسطى DF12</t>
    </r>
  </si>
  <si>
    <r>
      <t xml:space="preserve">                  M / F 340   </t>
    </r>
    <r>
      <rPr>
        <b/>
        <sz val="11"/>
        <rFont val="Arial"/>
        <family val="2"/>
      </rPr>
      <t>عازل فوم مجرى الهواءNF12</t>
    </r>
  </si>
  <si>
    <t>الكود</t>
  </si>
  <si>
    <t>الدور الثاني</t>
  </si>
  <si>
    <t>تاريخ الاضافة</t>
  </si>
  <si>
    <t>قائمة الاصناف وترتيب السحب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</si>
</sst>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4"/>
      <color indexed="8"/>
      <name val="Arial"/>
      <family val="2"/>
    </font>
    <font>
      <b/>
      <sz val="14"/>
      <color indexed="10"/>
      <name val="Arial"/>
      <family val="2"/>
    </font>
    <font>
      <b/>
      <sz val="16"/>
      <color rgb="FF000000"/>
      <name val="Arial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name val="Calibri"/>
      <family val="2"/>
    </font>
    <font>
      <b/>
      <sz val="12"/>
      <color rgb="FF000000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</font>
    <font>
      <b/>
      <sz val="14"/>
      <color theme="1"/>
      <name val="Times New Roman"/>
      <family val="1"/>
    </font>
    <font>
      <b/>
      <sz val="16"/>
      <color theme="1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b/>
      <sz val="2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11"/>
      <color indexed="10"/>
      <name val="Arial"/>
      <family val="2"/>
    </font>
    <font>
      <sz val="11"/>
      <name val="Arial"/>
      <family val="2"/>
    </font>
    <font>
      <sz val="26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3AEAE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4" fillId="0" borderId="0" applyNumberFormat="0" applyFill="0" applyBorder="0" applyAlignment="0" applyProtection="0"/>
  </cellStyleXfs>
  <cellXfs count="95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 readingOrder="1"/>
    </xf>
    <xf numFmtId="0" fontId="5" fillId="7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12" borderId="4" xfId="0" applyFont="1" applyFill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readingOrder="1"/>
    </xf>
    <xf numFmtId="0" fontId="10" fillId="8" borderId="4" xfId="0" applyFont="1" applyFill="1" applyBorder="1" applyAlignment="1">
      <alignment horizontal="center" vertical="center" readingOrder="1"/>
    </xf>
    <xf numFmtId="0" fontId="9" fillId="8" borderId="6" xfId="0" applyFont="1" applyFill="1" applyBorder="1" applyAlignment="1">
      <alignment horizontal="center" vertical="center" readingOrder="1"/>
    </xf>
    <xf numFmtId="0" fontId="10" fillId="8" borderId="7" xfId="0" applyFont="1" applyFill="1" applyBorder="1" applyAlignment="1">
      <alignment horizontal="center" vertical="center" readingOrder="1"/>
    </xf>
    <xf numFmtId="0" fontId="6" fillId="7" borderId="1" xfId="0" applyFont="1" applyFill="1" applyBorder="1" applyAlignment="1">
      <alignment horizontal="right"/>
    </xf>
    <xf numFmtId="0" fontId="13" fillId="0" borderId="1" xfId="0" applyFont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4" fillId="18" borderId="9" xfId="0" applyFont="1" applyFill="1" applyBorder="1" applyAlignment="1">
      <alignment horizontal="left" vertical="center"/>
    </xf>
    <xf numFmtId="0" fontId="1" fillId="18" borderId="1" xfId="0" applyFont="1" applyFill="1" applyBorder="1" applyAlignment="1">
      <alignment horizontal="center" vertical="center" wrapText="1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4" fillId="20" borderId="9" xfId="0" applyFont="1" applyFill="1" applyBorder="1" applyAlignment="1">
      <alignment horizontal="left" vertical="center"/>
    </xf>
    <xf numFmtId="0" fontId="1" fillId="20" borderId="2" xfId="0" applyFont="1" applyFill="1" applyBorder="1" applyAlignment="1">
      <alignment horizontal="center" vertical="center"/>
    </xf>
    <xf numFmtId="0" fontId="1" fillId="20" borderId="10" xfId="0" applyFont="1" applyFill="1" applyBorder="1" applyAlignment="1">
      <alignment horizontal="center" vertical="center"/>
    </xf>
    <xf numFmtId="0" fontId="1" fillId="20" borderId="11" xfId="0" applyFont="1" applyFill="1" applyBorder="1" applyAlignment="1">
      <alignment horizontal="center" vertical="center"/>
    </xf>
    <xf numFmtId="0" fontId="1" fillId="21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0" fontId="18" fillId="3" borderId="12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13" fillId="21" borderId="1" xfId="0" applyFont="1" applyFill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1" fillId="3" borderId="1" xfId="0" applyFont="1" applyFill="1" applyBorder="1" applyAlignment="1">
      <alignment horizontal="center" vertical="center"/>
    </xf>
    <xf numFmtId="0" fontId="1" fillId="22" borderId="1" xfId="0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0" fontId="13" fillId="13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 wrapText="1"/>
    </xf>
    <xf numFmtId="0" fontId="16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22" fontId="13" fillId="0" borderId="1" xfId="0" applyNumberFormat="1" applyFont="1" applyBorder="1" applyAlignment="1">
      <alignment horizontal="center" vertical="center"/>
    </xf>
    <xf numFmtId="0" fontId="1" fillId="24" borderId="1" xfId="0" applyFont="1" applyFill="1" applyBorder="1" applyAlignment="1">
      <alignment horizontal="center" vertical="center"/>
    </xf>
    <xf numFmtId="0" fontId="3" fillId="24" borderId="1" xfId="0" applyFont="1" applyFill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7" xfId="0" applyBorder="1"/>
    <xf numFmtId="0" fontId="0" fillId="0" borderId="18" xfId="0" applyBorder="1"/>
    <xf numFmtId="0" fontId="0" fillId="0" borderId="19" xfId="0" applyBorder="1"/>
    <xf numFmtId="14" fontId="13" fillId="0" borderId="1" xfId="0" applyNumberFormat="1" applyFont="1" applyBorder="1" applyAlignment="1">
      <alignment horizontal="center" vertical="center"/>
    </xf>
    <xf numFmtId="0" fontId="23" fillId="0" borderId="0" xfId="0" applyFont="1" applyAlignment="1">
      <alignment horizontal="right"/>
    </xf>
    <xf numFmtId="0" fontId="24" fillId="0" borderId="0" xfId="1"/>
    <xf numFmtId="0" fontId="24" fillId="0" borderId="13" xfId="1" applyBorder="1"/>
    <xf numFmtId="0" fontId="0" fillId="0" borderId="0" xfId="0" applyFill="1" applyBorder="1"/>
    <xf numFmtId="0" fontId="20" fillId="0" borderId="1" xfId="0" applyFont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21" fillId="3" borderId="1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0" fontId="17" fillId="4" borderId="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360"/>
  <sheetViews>
    <sheetView rightToLeft="1" workbookViewId="0">
      <pane xSplit="4" ySplit="3" topLeftCell="X25" activePane="bottomRight" state="frozen"/>
      <selection activeCell="A3" sqref="A3"/>
      <selection pane="topRight" activeCell="A3" sqref="A3"/>
      <selection pane="bottomLeft" activeCell="A3" sqref="A3"/>
      <selection pane="bottomRight" activeCell="AA37" sqref="AA37"/>
    </sheetView>
  </sheetViews>
  <sheetFormatPr defaultRowHeight="18" x14ac:dyDescent="0.25"/>
  <cols>
    <col min="1" max="1" width="6" style="24" bestFit="1" customWidth="1"/>
    <col min="2" max="2" width="18.42578125" style="54" bestFit="1" customWidth="1"/>
    <col min="3" max="3" width="26.5703125" style="24" bestFit="1" customWidth="1"/>
    <col min="4" max="4" width="70.7109375" style="24" customWidth="1"/>
    <col min="5" max="5" width="5.7109375" style="47" bestFit="1" customWidth="1"/>
    <col min="6" max="6" width="9.140625" style="24" bestFit="1" customWidth="1"/>
    <col min="7" max="7" width="10.7109375" style="24" bestFit="1" customWidth="1"/>
    <col min="17" max="17" width="11" bestFit="1" customWidth="1"/>
    <col min="22" max="22" width="14.5703125" customWidth="1"/>
    <col min="24" max="25" width="13" bestFit="1" customWidth="1"/>
    <col min="26" max="26" width="19.85546875" customWidth="1"/>
    <col min="27" max="30" width="10.140625" bestFit="1" customWidth="1"/>
  </cols>
  <sheetData>
    <row r="1" spans="1:31" x14ac:dyDescent="0.25">
      <c r="B1" s="54" t="s">
        <v>685</v>
      </c>
      <c r="C1" s="65">
        <f ca="1">NOW()</f>
        <v>43306.73166435185</v>
      </c>
      <c r="D1" s="63" t="s">
        <v>686</v>
      </c>
      <c r="E1" s="64"/>
      <c r="F1" s="24" t="s">
        <v>687</v>
      </c>
      <c r="I1" t="s">
        <v>692</v>
      </c>
      <c r="N1" t="s">
        <v>679</v>
      </c>
      <c r="Z1" t="s">
        <v>718</v>
      </c>
      <c r="AA1" t="s">
        <v>719</v>
      </c>
    </row>
    <row r="2" spans="1:31" ht="36" x14ac:dyDescent="0.25">
      <c r="A2" s="82" t="s">
        <v>648</v>
      </c>
      <c r="B2" s="83" t="s">
        <v>649</v>
      </c>
      <c r="C2" s="41" t="s">
        <v>0</v>
      </c>
      <c r="D2" s="84" t="s">
        <v>1</v>
      </c>
      <c r="E2" s="86" t="s">
        <v>644</v>
      </c>
      <c r="F2" s="41" t="s">
        <v>625</v>
      </c>
      <c r="G2" s="41" t="s">
        <v>643</v>
      </c>
      <c r="H2" s="58" t="s">
        <v>646</v>
      </c>
      <c r="I2" s="58" t="s">
        <v>618</v>
      </c>
      <c r="J2" s="58" t="s">
        <v>618</v>
      </c>
      <c r="K2" s="59" t="s">
        <v>619</v>
      </c>
      <c r="L2" s="56" t="s">
        <v>620</v>
      </c>
      <c r="M2" s="58" t="s">
        <v>621</v>
      </c>
      <c r="N2" s="58" t="s">
        <v>621</v>
      </c>
      <c r="O2" s="58" t="s">
        <v>622</v>
      </c>
      <c r="P2" s="58" t="s">
        <v>623</v>
      </c>
      <c r="Q2" s="56" t="s">
        <v>624</v>
      </c>
      <c r="R2" s="58" t="s">
        <v>625</v>
      </c>
      <c r="S2" s="58" t="s">
        <v>626</v>
      </c>
      <c r="T2" s="58" t="s">
        <v>627</v>
      </c>
      <c r="U2" s="58" t="s">
        <v>627</v>
      </c>
      <c r="V2" s="58" t="s">
        <v>628</v>
      </c>
      <c r="W2" s="61" t="s">
        <v>629</v>
      </c>
      <c r="X2" s="58" t="s">
        <v>630</v>
      </c>
      <c r="Y2" s="58" t="s">
        <v>631</v>
      </c>
      <c r="Z2" s="89" t="s">
        <v>702</v>
      </c>
      <c r="AA2" s="90"/>
      <c r="AB2" s="89" t="s">
        <v>703</v>
      </c>
      <c r="AC2" s="90"/>
      <c r="AD2" s="89" t="s">
        <v>704</v>
      </c>
      <c r="AE2" s="90"/>
    </row>
    <row r="3" spans="1:31" ht="18" customHeight="1" x14ac:dyDescent="0.25">
      <c r="A3" s="82"/>
      <c r="B3" s="83"/>
      <c r="C3" s="41" t="s">
        <v>2</v>
      </c>
      <c r="D3" s="85"/>
      <c r="E3" s="87"/>
      <c r="F3" s="41" t="s">
        <v>638</v>
      </c>
      <c r="G3" s="41" t="s">
        <v>638</v>
      </c>
      <c r="H3" s="58" t="s">
        <v>647</v>
      </c>
      <c r="I3" s="58" t="s">
        <v>632</v>
      </c>
      <c r="J3" s="58" t="s">
        <v>633</v>
      </c>
      <c r="K3" s="60"/>
      <c r="L3" s="57"/>
      <c r="M3" s="58" t="s">
        <v>634</v>
      </c>
      <c r="N3" s="58" t="s">
        <v>635</v>
      </c>
      <c r="O3" s="58" t="s">
        <v>636</v>
      </c>
      <c r="P3" s="58" t="s">
        <v>637</v>
      </c>
      <c r="Q3" s="57"/>
      <c r="R3" s="58" t="s">
        <v>638</v>
      </c>
      <c r="S3" s="58" t="s">
        <v>639</v>
      </c>
      <c r="T3" s="58" t="s">
        <v>640</v>
      </c>
      <c r="U3" s="58" t="s">
        <v>641</v>
      </c>
      <c r="V3" s="58" t="s">
        <v>642</v>
      </c>
      <c r="W3" s="62"/>
      <c r="X3" s="58"/>
      <c r="Y3" s="58"/>
      <c r="Z3" t="s">
        <v>701</v>
      </c>
      <c r="AA3" t="s">
        <v>680</v>
      </c>
      <c r="AB3" t="s">
        <v>701</v>
      </c>
      <c r="AC3" t="s">
        <v>680</v>
      </c>
      <c r="AD3" t="s">
        <v>701</v>
      </c>
      <c r="AE3" t="s">
        <v>680</v>
      </c>
    </row>
    <row r="4" spans="1:31" x14ac:dyDescent="0.25">
      <c r="A4" s="48">
        <v>39</v>
      </c>
      <c r="B4" s="49"/>
      <c r="C4" s="1" t="s">
        <v>3</v>
      </c>
      <c r="D4" s="2" t="s">
        <v>4</v>
      </c>
      <c r="E4" s="42" t="s">
        <v>626</v>
      </c>
      <c r="F4" s="50">
        <v>18</v>
      </c>
      <c r="G4" s="50">
        <v>0.4</v>
      </c>
      <c r="V4">
        <f t="shared" ref="V4:V17" si="0">S4*G4</f>
        <v>0</v>
      </c>
      <c r="AA4" s="55"/>
      <c r="AC4" s="55"/>
      <c r="AE4" s="55"/>
    </row>
    <row r="5" spans="1:31" x14ac:dyDescent="0.25">
      <c r="A5" s="48">
        <v>40</v>
      </c>
      <c r="B5" s="49"/>
      <c r="C5" s="1" t="s">
        <v>5</v>
      </c>
      <c r="D5" s="2" t="s">
        <v>6</v>
      </c>
      <c r="E5" s="42" t="s">
        <v>626</v>
      </c>
      <c r="F5" s="50">
        <v>18</v>
      </c>
      <c r="G5" s="50">
        <v>0</v>
      </c>
      <c r="V5">
        <f t="shared" si="0"/>
        <v>0</v>
      </c>
      <c r="AA5" s="55"/>
      <c r="AC5" s="55"/>
      <c r="AE5" s="55"/>
    </row>
    <row r="6" spans="1:31" x14ac:dyDescent="0.25">
      <c r="A6" s="48">
        <v>41</v>
      </c>
      <c r="B6" s="49"/>
      <c r="C6" s="1" t="s">
        <v>7</v>
      </c>
      <c r="D6" s="2" t="s">
        <v>8</v>
      </c>
      <c r="E6" s="42" t="s">
        <v>626</v>
      </c>
      <c r="F6" s="50">
        <v>18</v>
      </c>
      <c r="G6" s="50">
        <v>0</v>
      </c>
      <c r="V6">
        <f t="shared" si="0"/>
        <v>0</v>
      </c>
      <c r="AA6" s="55"/>
      <c r="AC6" s="55"/>
      <c r="AE6" s="55"/>
    </row>
    <row r="7" spans="1:31" x14ac:dyDescent="0.25">
      <c r="A7" s="48">
        <v>42</v>
      </c>
      <c r="B7" s="49"/>
      <c r="C7" s="1" t="s">
        <v>9</v>
      </c>
      <c r="D7" s="2" t="s">
        <v>10</v>
      </c>
      <c r="E7" s="42" t="s">
        <v>626</v>
      </c>
      <c r="F7" s="50">
        <v>18</v>
      </c>
      <c r="G7" s="50">
        <v>0</v>
      </c>
      <c r="V7">
        <f t="shared" si="0"/>
        <v>0</v>
      </c>
      <c r="AA7" s="55"/>
      <c r="AC7" s="55"/>
      <c r="AE7" s="55"/>
    </row>
    <row r="8" spans="1:31" x14ac:dyDescent="0.25">
      <c r="A8" s="48">
        <v>44</v>
      </c>
      <c r="B8" s="49"/>
      <c r="C8" s="1" t="s">
        <v>11</v>
      </c>
      <c r="D8" s="2" t="s">
        <v>12</v>
      </c>
      <c r="E8" s="42" t="s">
        <v>626</v>
      </c>
      <c r="F8" s="50">
        <v>18</v>
      </c>
      <c r="G8" s="50">
        <v>0</v>
      </c>
      <c r="V8">
        <f t="shared" si="0"/>
        <v>0</v>
      </c>
      <c r="AA8" s="55"/>
      <c r="AC8" s="55"/>
      <c r="AE8" s="55"/>
    </row>
    <row r="9" spans="1:31" x14ac:dyDescent="0.25">
      <c r="A9" s="48">
        <v>45</v>
      </c>
      <c r="B9" s="49"/>
      <c r="C9" s="1" t="s">
        <v>13</v>
      </c>
      <c r="D9" s="2" t="s">
        <v>14</v>
      </c>
      <c r="E9" s="42" t="s">
        <v>626</v>
      </c>
      <c r="F9" s="50">
        <v>18</v>
      </c>
      <c r="G9" s="50">
        <v>0</v>
      </c>
      <c r="V9">
        <f t="shared" si="0"/>
        <v>0</v>
      </c>
      <c r="AA9" s="55"/>
      <c r="AC9" s="55"/>
      <c r="AE9" s="55"/>
    </row>
    <row r="10" spans="1:31" x14ac:dyDescent="0.25">
      <c r="A10" s="48">
        <v>46</v>
      </c>
      <c r="B10" s="49"/>
      <c r="C10" s="1" t="s">
        <v>15</v>
      </c>
      <c r="D10" s="3" t="s">
        <v>16</v>
      </c>
      <c r="E10" s="42" t="s">
        <v>626</v>
      </c>
      <c r="F10" s="50">
        <v>30</v>
      </c>
      <c r="G10" s="50">
        <v>0.66</v>
      </c>
      <c r="V10">
        <f t="shared" si="0"/>
        <v>0</v>
      </c>
      <c r="AA10" s="55"/>
      <c r="AC10" s="55"/>
      <c r="AE10" s="55"/>
    </row>
    <row r="11" spans="1:31" x14ac:dyDescent="0.25">
      <c r="A11" s="48">
        <v>47</v>
      </c>
      <c r="B11" s="49"/>
      <c r="C11" s="1" t="s">
        <v>17</v>
      </c>
      <c r="D11" s="3" t="s">
        <v>18</v>
      </c>
      <c r="E11" s="42" t="s">
        <v>626</v>
      </c>
      <c r="F11" s="50">
        <v>30</v>
      </c>
      <c r="G11" s="50">
        <v>0</v>
      </c>
      <c r="V11">
        <f t="shared" si="0"/>
        <v>0</v>
      </c>
      <c r="AA11" s="55"/>
      <c r="AC11" s="55"/>
      <c r="AE11" s="55"/>
    </row>
    <row r="12" spans="1:31" x14ac:dyDescent="0.25">
      <c r="A12" s="48">
        <v>48</v>
      </c>
      <c r="B12" s="49"/>
      <c r="C12" s="1" t="s">
        <v>19</v>
      </c>
      <c r="D12" s="3" t="s">
        <v>20</v>
      </c>
      <c r="E12" s="42" t="s">
        <v>626</v>
      </c>
      <c r="F12" s="50">
        <v>30</v>
      </c>
      <c r="G12" s="50">
        <v>0</v>
      </c>
      <c r="V12">
        <f t="shared" si="0"/>
        <v>0</v>
      </c>
      <c r="AA12" s="55"/>
      <c r="AC12" s="55"/>
      <c r="AE12" s="55"/>
    </row>
    <row r="13" spans="1:31" x14ac:dyDescent="0.25">
      <c r="A13" s="48">
        <v>49</v>
      </c>
      <c r="B13" s="49"/>
      <c r="C13" s="1" t="s">
        <v>21</v>
      </c>
      <c r="D13" s="3" t="s">
        <v>22</v>
      </c>
      <c r="E13" s="42" t="s">
        <v>626</v>
      </c>
      <c r="F13" s="50">
        <v>30</v>
      </c>
      <c r="G13" s="50">
        <v>0</v>
      </c>
      <c r="V13">
        <f t="shared" si="0"/>
        <v>0</v>
      </c>
      <c r="AA13" s="55"/>
      <c r="AC13" s="55"/>
      <c r="AE13" s="55"/>
    </row>
    <row r="14" spans="1:31" x14ac:dyDescent="0.25">
      <c r="A14" s="48">
        <v>39</v>
      </c>
      <c r="B14" s="49"/>
      <c r="C14" s="1" t="s">
        <v>23</v>
      </c>
      <c r="D14" s="3" t="s">
        <v>24</v>
      </c>
      <c r="E14" s="42" t="s">
        <v>626</v>
      </c>
      <c r="F14" s="50">
        <v>30</v>
      </c>
      <c r="G14" s="50">
        <v>0.65</v>
      </c>
      <c r="V14">
        <f t="shared" si="0"/>
        <v>0</v>
      </c>
      <c r="AA14" s="55"/>
      <c r="AC14" s="55"/>
      <c r="AE14" s="55"/>
    </row>
    <row r="15" spans="1:31" x14ac:dyDescent="0.25">
      <c r="A15" s="48">
        <v>40</v>
      </c>
      <c r="B15" s="49"/>
      <c r="C15" s="1" t="s">
        <v>25</v>
      </c>
      <c r="D15" s="3" t="s">
        <v>26</v>
      </c>
      <c r="E15" s="42" t="s">
        <v>626</v>
      </c>
      <c r="F15" s="50">
        <v>30</v>
      </c>
      <c r="G15" s="50">
        <v>0</v>
      </c>
      <c r="V15">
        <f t="shared" si="0"/>
        <v>0</v>
      </c>
      <c r="AA15" s="55"/>
      <c r="AC15" s="55"/>
      <c r="AE15" s="55"/>
    </row>
    <row r="16" spans="1:31" x14ac:dyDescent="0.25">
      <c r="A16" s="48">
        <v>41</v>
      </c>
      <c r="B16" s="49"/>
      <c r="C16" s="1" t="s">
        <v>27</v>
      </c>
      <c r="D16" s="3" t="s">
        <v>28</v>
      </c>
      <c r="E16" s="42" t="s">
        <v>626</v>
      </c>
      <c r="F16" s="50">
        <v>30</v>
      </c>
      <c r="G16" s="50">
        <v>0</v>
      </c>
      <c r="V16">
        <f t="shared" si="0"/>
        <v>0</v>
      </c>
      <c r="AA16" s="55"/>
      <c r="AC16" s="55"/>
      <c r="AE16" s="55"/>
    </row>
    <row r="17" spans="1:31" x14ac:dyDescent="0.25">
      <c r="A17" s="48">
        <v>42</v>
      </c>
      <c r="B17" s="49"/>
      <c r="C17" s="1" t="s">
        <v>29</v>
      </c>
      <c r="D17" s="3" t="s">
        <v>30</v>
      </c>
      <c r="E17" s="42" t="s">
        <v>626</v>
      </c>
      <c r="F17" s="50">
        <v>30</v>
      </c>
      <c r="G17" s="50">
        <v>0</v>
      </c>
      <c r="V17">
        <f t="shared" si="0"/>
        <v>0</v>
      </c>
      <c r="AA17" s="55"/>
      <c r="AC17" s="55"/>
      <c r="AE17" s="55"/>
    </row>
    <row r="18" spans="1:31" x14ac:dyDescent="0.25">
      <c r="A18" s="48">
        <v>44</v>
      </c>
      <c r="B18" s="49"/>
      <c r="C18" s="1" t="s">
        <v>31</v>
      </c>
      <c r="D18" s="2" t="s">
        <v>32</v>
      </c>
      <c r="E18" s="42" t="s">
        <v>626</v>
      </c>
      <c r="F18" s="50">
        <v>36</v>
      </c>
      <c r="G18" s="50">
        <v>0.73</v>
      </c>
      <c r="H18">
        <v>5076</v>
      </c>
      <c r="K18">
        <v>0</v>
      </c>
      <c r="Q18">
        <v>5076</v>
      </c>
      <c r="R18">
        <v>36</v>
      </c>
      <c r="S18">
        <v>141</v>
      </c>
      <c r="T18">
        <v>0</v>
      </c>
      <c r="U18">
        <v>0</v>
      </c>
      <c r="V18">
        <f>S18*G18</f>
        <v>102.92999999999999</v>
      </c>
      <c r="W18">
        <v>0</v>
      </c>
      <c r="X18">
        <v>0</v>
      </c>
      <c r="Y18">
        <v>0</v>
      </c>
      <c r="Z18" t="s">
        <v>699</v>
      </c>
      <c r="AA18" s="55">
        <v>11</v>
      </c>
      <c r="AB18" t="s">
        <v>699</v>
      </c>
      <c r="AC18" s="55">
        <v>14</v>
      </c>
      <c r="AD18" t="s">
        <v>699</v>
      </c>
      <c r="AE18" s="55">
        <v>15</v>
      </c>
    </row>
    <row r="19" spans="1:31" x14ac:dyDescent="0.25">
      <c r="A19" s="48">
        <v>45</v>
      </c>
      <c r="B19" s="49"/>
      <c r="C19" s="1" t="s">
        <v>33</v>
      </c>
      <c r="D19" s="2" t="s">
        <v>34</v>
      </c>
      <c r="E19" s="42" t="s">
        <v>626</v>
      </c>
      <c r="F19" s="50">
        <v>36</v>
      </c>
      <c r="G19" s="50">
        <v>0</v>
      </c>
      <c r="H19">
        <v>5076</v>
      </c>
      <c r="K19">
        <v>0</v>
      </c>
      <c r="Q19">
        <v>5076</v>
      </c>
      <c r="R19">
        <v>36</v>
      </c>
      <c r="S19">
        <v>141</v>
      </c>
      <c r="T19">
        <v>0</v>
      </c>
      <c r="U19">
        <v>0</v>
      </c>
      <c r="V19">
        <f t="shared" ref="V19:V82" si="1">S19*G19</f>
        <v>0</v>
      </c>
      <c r="W19">
        <v>0</v>
      </c>
      <c r="X19">
        <v>0</v>
      </c>
      <c r="Y19">
        <v>0</v>
      </c>
      <c r="Z19" t="s">
        <v>700</v>
      </c>
      <c r="AA19" s="55">
        <v>15</v>
      </c>
      <c r="AB19" t="s">
        <v>700</v>
      </c>
      <c r="AC19" s="55">
        <v>16</v>
      </c>
      <c r="AE19" s="55"/>
    </row>
    <row r="20" spans="1:31" x14ac:dyDescent="0.25">
      <c r="A20" s="48">
        <v>46</v>
      </c>
      <c r="B20" s="49"/>
      <c r="C20" s="1" t="s">
        <v>35</v>
      </c>
      <c r="D20" s="2" t="s">
        <v>36</v>
      </c>
      <c r="E20" s="42" t="s">
        <v>626</v>
      </c>
      <c r="F20" s="50">
        <v>36</v>
      </c>
      <c r="G20" s="50">
        <v>0</v>
      </c>
      <c r="H20">
        <v>5076</v>
      </c>
      <c r="K20">
        <v>0</v>
      </c>
      <c r="Q20">
        <v>5076</v>
      </c>
      <c r="R20">
        <v>36</v>
      </c>
      <c r="S20">
        <v>141</v>
      </c>
      <c r="T20">
        <v>0</v>
      </c>
      <c r="U20">
        <v>0</v>
      </c>
      <c r="V20">
        <f t="shared" si="1"/>
        <v>0</v>
      </c>
      <c r="W20">
        <v>0</v>
      </c>
      <c r="X20">
        <v>0</v>
      </c>
      <c r="Y20">
        <v>0</v>
      </c>
      <c r="Z20" t="s">
        <v>700</v>
      </c>
      <c r="AA20" s="55">
        <v>17</v>
      </c>
      <c r="AB20" t="s">
        <v>700</v>
      </c>
      <c r="AC20" s="55">
        <v>18</v>
      </c>
      <c r="AE20" s="55"/>
    </row>
    <row r="21" spans="1:31" x14ac:dyDescent="0.25">
      <c r="A21" s="48">
        <v>47</v>
      </c>
      <c r="B21" s="49"/>
      <c r="C21" s="1" t="s">
        <v>37</v>
      </c>
      <c r="D21" s="2" t="s">
        <v>38</v>
      </c>
      <c r="E21" s="42" t="s">
        <v>626</v>
      </c>
      <c r="F21" s="50">
        <v>36</v>
      </c>
      <c r="G21" s="50">
        <v>0</v>
      </c>
      <c r="H21">
        <v>5076</v>
      </c>
      <c r="K21">
        <v>0</v>
      </c>
      <c r="Q21">
        <v>5076</v>
      </c>
      <c r="R21">
        <v>36</v>
      </c>
      <c r="S21">
        <v>141</v>
      </c>
      <c r="T21">
        <v>0</v>
      </c>
      <c r="U21">
        <v>0</v>
      </c>
      <c r="V21">
        <f t="shared" si="1"/>
        <v>0</v>
      </c>
      <c r="W21">
        <v>0</v>
      </c>
      <c r="X21">
        <v>0</v>
      </c>
      <c r="Y21">
        <v>0</v>
      </c>
      <c r="Z21" t="s">
        <v>699</v>
      </c>
      <c r="AA21" s="55">
        <v>17</v>
      </c>
      <c r="AC21" s="55"/>
      <c r="AE21" s="55"/>
    </row>
    <row r="22" spans="1:31" x14ac:dyDescent="0.25">
      <c r="A22" s="48">
        <v>48</v>
      </c>
      <c r="B22" s="49"/>
      <c r="C22" s="1" t="s">
        <v>39</v>
      </c>
      <c r="D22" s="2" t="s">
        <v>40</v>
      </c>
      <c r="E22" s="42" t="s">
        <v>626</v>
      </c>
      <c r="F22" s="50">
        <v>36</v>
      </c>
      <c r="G22" s="50">
        <v>0</v>
      </c>
      <c r="H22">
        <v>5076</v>
      </c>
      <c r="K22">
        <v>0</v>
      </c>
      <c r="Q22">
        <v>5076</v>
      </c>
      <c r="R22">
        <v>36</v>
      </c>
      <c r="S22">
        <v>141</v>
      </c>
      <c r="T22">
        <v>0</v>
      </c>
      <c r="U22">
        <v>0</v>
      </c>
      <c r="V22">
        <f t="shared" si="1"/>
        <v>0</v>
      </c>
      <c r="W22">
        <v>0</v>
      </c>
      <c r="X22">
        <v>0</v>
      </c>
      <c r="Y22">
        <v>0</v>
      </c>
      <c r="Z22" t="s">
        <v>699</v>
      </c>
      <c r="AA22" s="55">
        <v>17</v>
      </c>
      <c r="AC22" s="55"/>
      <c r="AE22" s="55"/>
    </row>
    <row r="23" spans="1:31" x14ac:dyDescent="0.25">
      <c r="A23" s="48">
        <v>49</v>
      </c>
      <c r="B23" s="49"/>
      <c r="C23" s="1" t="s">
        <v>41</v>
      </c>
      <c r="D23" s="2" t="s">
        <v>42</v>
      </c>
      <c r="E23" s="42" t="s">
        <v>626</v>
      </c>
      <c r="F23" s="50">
        <v>36</v>
      </c>
      <c r="G23" s="50">
        <v>0</v>
      </c>
      <c r="H23">
        <v>5076</v>
      </c>
      <c r="K23">
        <v>0</v>
      </c>
      <c r="Q23">
        <v>5076</v>
      </c>
      <c r="R23">
        <v>36</v>
      </c>
      <c r="S23">
        <v>141</v>
      </c>
      <c r="T23">
        <v>0</v>
      </c>
      <c r="U23">
        <v>0</v>
      </c>
      <c r="V23">
        <f t="shared" si="1"/>
        <v>0</v>
      </c>
      <c r="W23">
        <v>0</v>
      </c>
      <c r="X23">
        <v>0</v>
      </c>
      <c r="Y23">
        <v>0</v>
      </c>
      <c r="Z23" t="s">
        <v>699</v>
      </c>
      <c r="AA23" s="55">
        <v>14</v>
      </c>
      <c r="AC23" s="55"/>
      <c r="AE23" s="55"/>
    </row>
    <row r="24" spans="1:31" x14ac:dyDescent="0.25">
      <c r="A24" s="48">
        <v>65</v>
      </c>
      <c r="B24" s="49"/>
      <c r="C24" s="1" t="s">
        <v>43</v>
      </c>
      <c r="D24" s="3" t="s">
        <v>44</v>
      </c>
      <c r="E24" s="42" t="s">
        <v>626</v>
      </c>
      <c r="F24" s="50">
        <v>52</v>
      </c>
      <c r="G24" s="50">
        <v>0.16</v>
      </c>
      <c r="H24">
        <v>624</v>
      </c>
      <c r="K24">
        <v>0</v>
      </c>
      <c r="Q24">
        <v>624</v>
      </c>
      <c r="R24">
        <v>52</v>
      </c>
      <c r="S24">
        <v>12</v>
      </c>
      <c r="T24">
        <v>0</v>
      </c>
      <c r="U24">
        <v>0</v>
      </c>
      <c r="V24">
        <f t="shared" si="1"/>
        <v>1.92</v>
      </c>
      <c r="W24">
        <v>0</v>
      </c>
      <c r="X24">
        <v>0</v>
      </c>
      <c r="Y24">
        <v>0</v>
      </c>
      <c r="Z24" t="s">
        <v>699</v>
      </c>
      <c r="AA24" s="55">
        <v>14</v>
      </c>
      <c r="AC24" s="55"/>
      <c r="AE24" s="55"/>
    </row>
    <row r="25" spans="1:31" x14ac:dyDescent="0.25">
      <c r="A25" s="48">
        <v>70</v>
      </c>
      <c r="B25" s="49"/>
      <c r="C25" s="1" t="s">
        <v>45</v>
      </c>
      <c r="D25" s="3" t="s">
        <v>46</v>
      </c>
      <c r="E25" s="42" t="s">
        <v>626</v>
      </c>
      <c r="F25" s="50">
        <v>90</v>
      </c>
      <c r="G25" s="50">
        <v>0.28000000000000003</v>
      </c>
      <c r="H25">
        <v>0</v>
      </c>
      <c r="K25">
        <v>0</v>
      </c>
      <c r="Q25">
        <v>0</v>
      </c>
      <c r="R25">
        <v>90</v>
      </c>
      <c r="S25">
        <v>0</v>
      </c>
      <c r="T25">
        <v>0</v>
      </c>
      <c r="U25">
        <v>0</v>
      </c>
      <c r="V25">
        <f t="shared" si="1"/>
        <v>0</v>
      </c>
      <c r="W25">
        <v>0</v>
      </c>
      <c r="X25">
        <v>0</v>
      </c>
      <c r="Y25">
        <v>0</v>
      </c>
      <c r="Z25" t="s">
        <v>699</v>
      </c>
      <c r="AA25" s="55">
        <v>15</v>
      </c>
      <c r="AC25" s="55"/>
      <c r="AE25" s="55"/>
    </row>
    <row r="26" spans="1:31" x14ac:dyDescent="0.25">
      <c r="A26" s="48">
        <v>71</v>
      </c>
      <c r="B26" s="49"/>
      <c r="C26" s="1" t="s">
        <v>47</v>
      </c>
      <c r="D26" s="3" t="s">
        <v>48</v>
      </c>
      <c r="E26" s="42" t="s">
        <v>626</v>
      </c>
      <c r="F26" s="50">
        <v>80</v>
      </c>
      <c r="G26" s="50">
        <v>0.3</v>
      </c>
      <c r="H26">
        <v>913</v>
      </c>
      <c r="K26">
        <v>0</v>
      </c>
      <c r="Q26">
        <v>913</v>
      </c>
      <c r="R26">
        <v>80</v>
      </c>
      <c r="S26">
        <v>11.4125</v>
      </c>
      <c r="T26">
        <v>0</v>
      </c>
      <c r="U26">
        <v>0</v>
      </c>
      <c r="V26">
        <f t="shared" si="1"/>
        <v>3.4237499999999996</v>
      </c>
      <c r="W26">
        <v>0</v>
      </c>
      <c r="X26">
        <v>0</v>
      </c>
      <c r="Y26">
        <v>0</v>
      </c>
      <c r="Z26" t="s">
        <v>699</v>
      </c>
      <c r="AA26" s="55">
        <v>20</v>
      </c>
      <c r="AC26" s="55"/>
      <c r="AE26" s="55"/>
    </row>
    <row r="27" spans="1:31" x14ac:dyDescent="0.25">
      <c r="A27" s="48">
        <v>81</v>
      </c>
      <c r="B27" s="49"/>
      <c r="C27" s="1" t="s">
        <v>49</v>
      </c>
      <c r="D27" s="3" t="s">
        <v>50</v>
      </c>
      <c r="E27" s="42" t="s">
        <v>626</v>
      </c>
      <c r="F27" s="50">
        <v>120</v>
      </c>
      <c r="G27" s="50">
        <v>0.37</v>
      </c>
      <c r="H27">
        <v>120</v>
      </c>
      <c r="K27">
        <v>0</v>
      </c>
      <c r="Q27">
        <v>120</v>
      </c>
      <c r="R27">
        <v>120</v>
      </c>
      <c r="S27">
        <v>1</v>
      </c>
      <c r="T27">
        <v>0</v>
      </c>
      <c r="U27">
        <v>0</v>
      </c>
      <c r="V27">
        <f t="shared" si="1"/>
        <v>0.37</v>
      </c>
      <c r="W27">
        <v>0</v>
      </c>
      <c r="X27">
        <v>0</v>
      </c>
      <c r="Y27">
        <v>0</v>
      </c>
      <c r="Z27" t="s">
        <v>699</v>
      </c>
      <c r="AA27" s="55">
        <v>21</v>
      </c>
      <c r="AC27" s="55"/>
      <c r="AE27" s="55"/>
    </row>
    <row r="28" spans="1:31" x14ac:dyDescent="0.25">
      <c r="A28" s="48">
        <v>385</v>
      </c>
      <c r="B28" s="49"/>
      <c r="C28" s="1" t="s">
        <v>51</v>
      </c>
      <c r="D28" s="3" t="s">
        <v>52</v>
      </c>
      <c r="E28" s="42" t="s">
        <v>626</v>
      </c>
      <c r="F28" s="50">
        <v>8</v>
      </c>
      <c r="G28" s="50">
        <v>0.26</v>
      </c>
      <c r="H28">
        <v>528</v>
      </c>
      <c r="K28">
        <v>0</v>
      </c>
      <c r="Q28">
        <v>528</v>
      </c>
      <c r="R28">
        <v>8</v>
      </c>
      <c r="S28">
        <v>66</v>
      </c>
      <c r="T28">
        <v>0</v>
      </c>
      <c r="U28">
        <v>0</v>
      </c>
      <c r="V28">
        <f t="shared" si="1"/>
        <v>17.16</v>
      </c>
      <c r="W28">
        <v>0</v>
      </c>
      <c r="X28">
        <v>0</v>
      </c>
      <c r="Y28">
        <v>0</v>
      </c>
      <c r="Z28" t="s">
        <v>699</v>
      </c>
      <c r="AA28" s="55">
        <v>22</v>
      </c>
      <c r="AC28" s="55"/>
      <c r="AE28" s="55"/>
    </row>
    <row r="29" spans="1:31" x14ac:dyDescent="0.25">
      <c r="A29" s="48">
        <v>386</v>
      </c>
      <c r="B29" s="49"/>
      <c r="C29" s="1" t="s">
        <v>53</v>
      </c>
      <c r="D29" s="3" t="s">
        <v>54</v>
      </c>
      <c r="E29" s="42" t="s">
        <v>626</v>
      </c>
      <c r="F29" s="50">
        <v>6</v>
      </c>
      <c r="G29" s="50">
        <v>0.32</v>
      </c>
      <c r="H29">
        <v>516</v>
      </c>
      <c r="K29">
        <v>0</v>
      </c>
      <c r="Q29">
        <v>516</v>
      </c>
      <c r="R29">
        <v>6</v>
      </c>
      <c r="S29">
        <v>86</v>
      </c>
      <c r="T29">
        <v>0</v>
      </c>
      <c r="U29">
        <v>0</v>
      </c>
      <c r="V29">
        <f t="shared" si="1"/>
        <v>27.52</v>
      </c>
      <c r="W29">
        <v>0</v>
      </c>
      <c r="X29">
        <v>0</v>
      </c>
      <c r="Y29">
        <v>0</v>
      </c>
      <c r="Z29" t="s">
        <v>699</v>
      </c>
      <c r="AA29" s="55">
        <v>22</v>
      </c>
      <c r="AC29" s="55"/>
      <c r="AE29" s="55"/>
    </row>
    <row r="30" spans="1:31" x14ac:dyDescent="0.25">
      <c r="A30" s="48">
        <v>392</v>
      </c>
      <c r="B30" s="49"/>
      <c r="C30" s="1" t="s">
        <v>55</v>
      </c>
      <c r="D30" s="3" t="s">
        <v>56</v>
      </c>
      <c r="E30" s="42" t="s">
        <v>626</v>
      </c>
      <c r="F30" s="50">
        <v>200</v>
      </c>
      <c r="G30" s="50">
        <v>0.4</v>
      </c>
      <c r="H30">
        <v>1495</v>
      </c>
      <c r="K30">
        <v>0</v>
      </c>
      <c r="Q30">
        <v>1495</v>
      </c>
      <c r="R30">
        <v>200</v>
      </c>
      <c r="S30">
        <v>7.4749999999999996</v>
      </c>
      <c r="T30">
        <v>0</v>
      </c>
      <c r="U30">
        <v>0</v>
      </c>
      <c r="V30">
        <f t="shared" si="1"/>
        <v>2.99</v>
      </c>
      <c r="W30">
        <v>0</v>
      </c>
      <c r="X30">
        <v>0</v>
      </c>
      <c r="Y30">
        <v>0</v>
      </c>
      <c r="Z30" t="s">
        <v>699</v>
      </c>
      <c r="AA30" s="55">
        <v>22</v>
      </c>
      <c r="AC30" s="55"/>
      <c r="AE30" s="55"/>
    </row>
    <row r="31" spans="1:31" x14ac:dyDescent="0.25">
      <c r="A31" s="48">
        <v>393</v>
      </c>
      <c r="B31" s="49"/>
      <c r="C31" s="1" t="s">
        <v>57</v>
      </c>
      <c r="D31" s="3" t="s">
        <v>58</v>
      </c>
      <c r="E31" s="42" t="s">
        <v>626</v>
      </c>
      <c r="F31" s="50">
        <v>30</v>
      </c>
      <c r="G31" s="50">
        <v>0.4</v>
      </c>
      <c r="H31">
        <v>1470</v>
      </c>
      <c r="K31">
        <v>0</v>
      </c>
      <c r="Q31">
        <v>1470</v>
      </c>
      <c r="R31">
        <v>30</v>
      </c>
      <c r="S31">
        <v>49</v>
      </c>
      <c r="T31">
        <v>0</v>
      </c>
      <c r="U31">
        <v>0</v>
      </c>
      <c r="V31">
        <f t="shared" si="1"/>
        <v>19.600000000000001</v>
      </c>
      <c r="W31">
        <v>0</v>
      </c>
      <c r="X31">
        <v>0</v>
      </c>
      <c r="Y31">
        <v>0</v>
      </c>
      <c r="Z31" t="s">
        <v>700</v>
      </c>
      <c r="AA31" s="55">
        <v>5</v>
      </c>
      <c r="AC31" s="55"/>
      <c r="AE31" s="55"/>
    </row>
    <row r="32" spans="1:31" x14ac:dyDescent="0.25">
      <c r="A32" s="48">
        <v>394</v>
      </c>
      <c r="B32" s="49"/>
      <c r="C32" s="1" t="s">
        <v>59</v>
      </c>
      <c r="D32" s="3" t="s">
        <v>60</v>
      </c>
      <c r="E32" s="42" t="s">
        <v>626</v>
      </c>
      <c r="F32" s="50">
        <v>10</v>
      </c>
      <c r="G32" s="50">
        <v>0.5</v>
      </c>
      <c r="H32">
        <v>380</v>
      </c>
      <c r="K32">
        <v>0</v>
      </c>
      <c r="Q32">
        <v>380</v>
      </c>
      <c r="R32">
        <v>10</v>
      </c>
      <c r="S32">
        <v>38</v>
      </c>
      <c r="T32">
        <v>0</v>
      </c>
      <c r="U32">
        <v>0</v>
      </c>
      <c r="V32">
        <f t="shared" si="1"/>
        <v>19</v>
      </c>
      <c r="W32">
        <v>0</v>
      </c>
      <c r="X32">
        <v>0</v>
      </c>
      <c r="Y32">
        <v>0</v>
      </c>
      <c r="Z32" t="s">
        <v>700</v>
      </c>
      <c r="AA32" s="55">
        <v>5</v>
      </c>
      <c r="AC32" s="55"/>
      <c r="AE32" s="55"/>
    </row>
    <row r="33" spans="1:31" x14ac:dyDescent="0.25">
      <c r="A33" s="48">
        <v>395</v>
      </c>
      <c r="B33" s="49"/>
      <c r="C33" s="1"/>
      <c r="D33" s="3" t="s">
        <v>61</v>
      </c>
      <c r="E33" s="42" t="s">
        <v>626</v>
      </c>
      <c r="F33" s="50">
        <v>20</v>
      </c>
      <c r="G33" s="50">
        <v>0.2</v>
      </c>
      <c r="H33">
        <v>0</v>
      </c>
      <c r="K33">
        <v>0</v>
      </c>
      <c r="Q33">
        <v>0</v>
      </c>
      <c r="R33">
        <v>20</v>
      </c>
      <c r="S33">
        <v>0</v>
      </c>
      <c r="T33">
        <v>0</v>
      </c>
      <c r="U33">
        <v>0</v>
      </c>
      <c r="V33">
        <f t="shared" si="1"/>
        <v>0</v>
      </c>
      <c r="W33">
        <v>0</v>
      </c>
      <c r="X33">
        <v>0</v>
      </c>
      <c r="Y33">
        <v>0</v>
      </c>
      <c r="Z33" t="s">
        <v>700</v>
      </c>
      <c r="AA33" s="55">
        <v>5</v>
      </c>
      <c r="AC33" s="55"/>
      <c r="AE33" s="55"/>
    </row>
    <row r="34" spans="1:31" x14ac:dyDescent="0.25">
      <c r="A34" s="48">
        <v>396</v>
      </c>
      <c r="B34" s="49"/>
      <c r="C34" s="1" t="s">
        <v>29</v>
      </c>
      <c r="D34" s="3" t="s">
        <v>62</v>
      </c>
      <c r="E34" s="42" t="s">
        <v>626</v>
      </c>
      <c r="F34" s="50">
        <v>20</v>
      </c>
      <c r="G34" s="50">
        <v>0.33</v>
      </c>
      <c r="H34">
        <v>2800</v>
      </c>
      <c r="K34">
        <v>0</v>
      </c>
      <c r="Q34">
        <v>2800</v>
      </c>
      <c r="R34">
        <v>20</v>
      </c>
      <c r="S34">
        <v>140</v>
      </c>
      <c r="T34">
        <v>0</v>
      </c>
      <c r="U34">
        <v>0</v>
      </c>
      <c r="V34">
        <f t="shared" si="1"/>
        <v>46.2</v>
      </c>
      <c r="W34">
        <v>0</v>
      </c>
      <c r="X34">
        <v>0</v>
      </c>
      <c r="Y34">
        <v>0</v>
      </c>
      <c r="Z34" t="s">
        <v>700</v>
      </c>
      <c r="AA34" s="55">
        <v>6</v>
      </c>
      <c r="AC34" s="55"/>
      <c r="AE34" s="55"/>
    </row>
    <row r="35" spans="1:31" x14ac:dyDescent="0.25">
      <c r="A35" s="48">
        <v>397</v>
      </c>
      <c r="B35" s="49"/>
      <c r="C35" s="1" t="s">
        <v>63</v>
      </c>
      <c r="D35" s="3" t="s">
        <v>64</v>
      </c>
      <c r="E35" s="42" t="s">
        <v>626</v>
      </c>
      <c r="F35" s="50">
        <v>20</v>
      </c>
      <c r="G35" s="50">
        <v>0.37</v>
      </c>
      <c r="H35">
        <v>0</v>
      </c>
      <c r="K35">
        <v>0</v>
      </c>
      <c r="Q35">
        <v>0</v>
      </c>
      <c r="R35">
        <v>20</v>
      </c>
      <c r="S35">
        <v>0</v>
      </c>
      <c r="T35">
        <v>0</v>
      </c>
      <c r="U35">
        <v>0</v>
      </c>
      <c r="V35">
        <f t="shared" si="1"/>
        <v>0</v>
      </c>
      <c r="W35">
        <v>0</v>
      </c>
      <c r="X35">
        <v>0</v>
      </c>
      <c r="Y35">
        <v>0</v>
      </c>
      <c r="Z35" t="s">
        <v>700</v>
      </c>
      <c r="AA35" s="55">
        <v>6</v>
      </c>
      <c r="AC35" s="55"/>
      <c r="AE35" s="55"/>
    </row>
    <row r="36" spans="1:31" x14ac:dyDescent="0.25">
      <c r="A36" s="48">
        <v>398</v>
      </c>
      <c r="B36" s="49"/>
      <c r="C36" s="1" t="s">
        <v>65</v>
      </c>
      <c r="D36" s="3" t="s">
        <v>66</v>
      </c>
      <c r="E36" s="42" t="s">
        <v>626</v>
      </c>
      <c r="F36" s="50">
        <v>200</v>
      </c>
      <c r="G36" s="50">
        <v>0.4</v>
      </c>
      <c r="H36">
        <v>8800</v>
      </c>
      <c r="K36">
        <v>0</v>
      </c>
      <c r="Q36">
        <v>8800</v>
      </c>
      <c r="R36">
        <v>200</v>
      </c>
      <c r="S36">
        <v>44</v>
      </c>
      <c r="T36">
        <v>0</v>
      </c>
      <c r="U36">
        <v>0</v>
      </c>
      <c r="V36">
        <f t="shared" si="1"/>
        <v>17.600000000000001</v>
      </c>
      <c r="W36">
        <v>0</v>
      </c>
      <c r="X36">
        <v>0</v>
      </c>
      <c r="Y36">
        <v>0</v>
      </c>
      <c r="Z36" t="s">
        <v>700</v>
      </c>
      <c r="AA36" s="55">
        <v>6</v>
      </c>
      <c r="AC36" s="55"/>
      <c r="AE36" s="55"/>
    </row>
    <row r="37" spans="1:31" x14ac:dyDescent="0.25">
      <c r="A37" s="48">
        <v>410</v>
      </c>
      <c r="B37" s="4"/>
      <c r="C37" s="4"/>
      <c r="D37" s="4" t="s">
        <v>67</v>
      </c>
      <c r="E37" s="4" t="s">
        <v>626</v>
      </c>
      <c r="F37" s="4">
        <f>SUM(F4:F36)</f>
        <v>1420</v>
      </c>
      <c r="G37" s="4">
        <v>6.4300000000000015</v>
      </c>
      <c r="V37">
        <f t="shared" si="1"/>
        <v>0</v>
      </c>
      <c r="AA37" s="55"/>
      <c r="AC37" s="55"/>
      <c r="AE37" s="55"/>
    </row>
    <row r="38" spans="1:31" x14ac:dyDescent="0.25">
      <c r="A38" s="48">
        <v>82</v>
      </c>
      <c r="B38" s="49"/>
      <c r="C38" s="1" t="s">
        <v>68</v>
      </c>
      <c r="D38" s="3" t="s">
        <v>69</v>
      </c>
      <c r="E38" s="42" t="s">
        <v>626</v>
      </c>
      <c r="F38" s="50">
        <v>192</v>
      </c>
      <c r="G38" s="50">
        <v>0.4</v>
      </c>
      <c r="V38">
        <f t="shared" si="1"/>
        <v>0</v>
      </c>
      <c r="AA38" s="55"/>
      <c r="AC38" s="55"/>
      <c r="AE38" s="55"/>
    </row>
    <row r="39" spans="1:31" x14ac:dyDescent="0.25">
      <c r="A39" s="48">
        <v>83</v>
      </c>
      <c r="B39" s="49"/>
      <c r="C39" s="1" t="s">
        <v>70</v>
      </c>
      <c r="D39" s="3" t="s">
        <v>71</v>
      </c>
      <c r="E39" s="42" t="s">
        <v>626</v>
      </c>
      <c r="F39" s="50">
        <v>54</v>
      </c>
      <c r="G39" s="50">
        <v>0.4</v>
      </c>
      <c r="V39">
        <f t="shared" si="1"/>
        <v>0</v>
      </c>
      <c r="AA39" s="55"/>
      <c r="AC39" s="55"/>
      <c r="AE39" s="55"/>
    </row>
    <row r="40" spans="1:31" x14ac:dyDescent="0.25">
      <c r="A40" s="48">
        <v>84</v>
      </c>
      <c r="B40" s="49"/>
      <c r="C40" s="1" t="s">
        <v>72</v>
      </c>
      <c r="D40" s="3" t="s">
        <v>73</v>
      </c>
      <c r="E40" s="42" t="s">
        <v>645</v>
      </c>
      <c r="F40" s="50">
        <v>24</v>
      </c>
      <c r="G40" s="50">
        <v>0.4</v>
      </c>
      <c r="V40">
        <f t="shared" si="1"/>
        <v>0</v>
      </c>
      <c r="AA40" s="55"/>
      <c r="AC40" s="55"/>
      <c r="AE40" s="55"/>
    </row>
    <row r="41" spans="1:31" x14ac:dyDescent="0.25">
      <c r="A41" s="48">
        <v>85</v>
      </c>
      <c r="B41" s="49"/>
      <c r="C41" s="1" t="s">
        <v>74</v>
      </c>
      <c r="D41" s="3" t="s">
        <v>75</v>
      </c>
      <c r="E41" s="42" t="s">
        <v>645</v>
      </c>
      <c r="F41" s="50">
        <v>24</v>
      </c>
      <c r="G41" s="50">
        <v>0.4</v>
      </c>
      <c r="V41">
        <f t="shared" si="1"/>
        <v>0</v>
      </c>
      <c r="AA41" s="55"/>
      <c r="AC41" s="55"/>
      <c r="AE41" s="55"/>
    </row>
    <row r="42" spans="1:31" ht="18.75" thickBot="1" x14ac:dyDescent="0.3">
      <c r="A42" s="48">
        <v>87</v>
      </c>
      <c r="B42" s="49"/>
      <c r="C42" s="1" t="s">
        <v>76</v>
      </c>
      <c r="D42" s="3" t="s">
        <v>77</v>
      </c>
      <c r="E42" s="42" t="s">
        <v>626</v>
      </c>
      <c r="F42" s="50">
        <v>8</v>
      </c>
      <c r="G42" s="50">
        <v>0.4</v>
      </c>
      <c r="V42">
        <f t="shared" si="1"/>
        <v>0</v>
      </c>
      <c r="AA42" s="55"/>
      <c r="AC42" s="55"/>
      <c r="AE42" s="55"/>
    </row>
    <row r="43" spans="1:31" ht="21" thickBot="1" x14ac:dyDescent="0.3">
      <c r="A43" s="48">
        <v>441</v>
      </c>
      <c r="B43" s="49"/>
      <c r="C43" s="5" t="s">
        <v>78</v>
      </c>
      <c r="D43" s="3" t="s">
        <v>79</v>
      </c>
      <c r="E43" s="42" t="s">
        <v>626</v>
      </c>
      <c r="F43" s="50">
        <v>100</v>
      </c>
      <c r="G43" s="50">
        <v>0.28999999999999998</v>
      </c>
      <c r="V43">
        <f t="shared" si="1"/>
        <v>0</v>
      </c>
      <c r="AA43" s="55"/>
      <c r="AC43" s="55"/>
      <c r="AE43" s="55"/>
    </row>
    <row r="44" spans="1:31" x14ac:dyDescent="0.25">
      <c r="A44" s="48">
        <v>528</v>
      </c>
      <c r="B44" s="49" t="s">
        <v>650</v>
      </c>
      <c r="C44" s="1" t="s">
        <v>80</v>
      </c>
      <c r="D44" s="3" t="s">
        <v>81</v>
      </c>
      <c r="E44" s="42" t="s">
        <v>626</v>
      </c>
      <c r="F44" s="50">
        <v>160</v>
      </c>
      <c r="G44" s="50">
        <v>0.32</v>
      </c>
      <c r="V44">
        <f t="shared" si="1"/>
        <v>0</v>
      </c>
      <c r="AA44" s="55"/>
      <c r="AC44" s="55"/>
      <c r="AE44" s="55"/>
    </row>
    <row r="45" spans="1:31" x14ac:dyDescent="0.25">
      <c r="A45" s="48">
        <v>88</v>
      </c>
      <c r="B45" s="4"/>
      <c r="C45" s="4"/>
      <c r="D45" s="4" t="s">
        <v>82</v>
      </c>
      <c r="E45" s="4" t="s">
        <v>626</v>
      </c>
      <c r="F45" s="4">
        <f>SUM(F38:F44)</f>
        <v>562</v>
      </c>
      <c r="G45" s="4">
        <v>2.2600000000000002</v>
      </c>
      <c r="V45">
        <f t="shared" si="1"/>
        <v>0</v>
      </c>
      <c r="AA45" s="55"/>
      <c r="AC45" s="55"/>
      <c r="AE45" s="55"/>
    </row>
    <row r="46" spans="1:31" x14ac:dyDescent="0.25">
      <c r="A46" s="48">
        <v>93</v>
      </c>
      <c r="B46" s="49" t="s">
        <v>651</v>
      </c>
      <c r="C46" s="1" t="s">
        <v>83</v>
      </c>
      <c r="D46" s="3" t="s">
        <v>84</v>
      </c>
      <c r="E46" s="42" t="s">
        <v>626</v>
      </c>
      <c r="F46" s="50">
        <v>10</v>
      </c>
      <c r="G46" s="50">
        <v>0.44</v>
      </c>
      <c r="H46" s="66">
        <v>378.20833333333331</v>
      </c>
      <c r="I46" s="58"/>
      <c r="J46" s="1"/>
      <c r="K46" s="67">
        <f t="shared" ref="K46" si="2">I46+J46</f>
        <v>0</v>
      </c>
      <c r="L46" s="50"/>
      <c r="M46" s="50"/>
      <c r="N46" s="50"/>
      <c r="O46" s="50"/>
      <c r="P46" s="1"/>
      <c r="Q46" s="66">
        <f t="shared" ref="Q46" si="3">H46+K46+L46+M46-N46-O46-P46</f>
        <v>378.20833333333331</v>
      </c>
      <c r="R46" s="50">
        <v>10</v>
      </c>
      <c r="S46" s="50">
        <f t="shared" ref="S46" si="4">Q46/R46</f>
        <v>37.820833333333333</v>
      </c>
      <c r="T46" s="50">
        <f t="shared" ref="T46" si="5">K46/R46</f>
        <v>0</v>
      </c>
      <c r="U46" s="50">
        <f t="shared" ref="U46" si="6">P46/R46</f>
        <v>0</v>
      </c>
      <c r="V46">
        <f t="shared" si="1"/>
        <v>16.641166666666667</v>
      </c>
      <c r="W46" s="48"/>
      <c r="X46" s="48"/>
      <c r="Y46" s="48"/>
      <c r="Z46" t="s">
        <v>699</v>
      </c>
      <c r="AA46" s="55">
        <v>2</v>
      </c>
      <c r="AC46" s="55"/>
      <c r="AE46" s="55"/>
    </row>
    <row r="47" spans="1:31" x14ac:dyDescent="0.25">
      <c r="A47" s="48">
        <v>94</v>
      </c>
      <c r="B47" s="49"/>
      <c r="C47" s="1" t="s">
        <v>85</v>
      </c>
      <c r="D47" s="3" t="s">
        <v>86</v>
      </c>
      <c r="E47" s="42" t="s">
        <v>626</v>
      </c>
      <c r="F47" s="50">
        <v>168</v>
      </c>
      <c r="G47" s="50">
        <v>0.44</v>
      </c>
      <c r="V47">
        <f t="shared" si="1"/>
        <v>0</v>
      </c>
      <c r="AA47" s="55"/>
      <c r="AC47" s="55"/>
      <c r="AE47" s="55"/>
    </row>
    <row r="48" spans="1:31" x14ac:dyDescent="0.25">
      <c r="A48" s="48">
        <v>95</v>
      </c>
      <c r="B48" s="49"/>
      <c r="C48" s="1" t="s">
        <v>87</v>
      </c>
      <c r="D48" s="3" t="s">
        <v>88</v>
      </c>
      <c r="E48" s="42" t="s">
        <v>626</v>
      </c>
      <c r="F48" s="50">
        <v>168</v>
      </c>
      <c r="G48" s="50">
        <v>0.44</v>
      </c>
      <c r="V48">
        <f t="shared" si="1"/>
        <v>0</v>
      </c>
      <c r="AA48" s="55"/>
      <c r="AC48" s="55"/>
      <c r="AE48" s="55"/>
    </row>
    <row r="49" spans="1:31" x14ac:dyDescent="0.25">
      <c r="A49" s="48">
        <v>607</v>
      </c>
      <c r="B49" s="49"/>
      <c r="C49" s="1" t="s">
        <v>89</v>
      </c>
      <c r="D49" s="3" t="s">
        <v>90</v>
      </c>
      <c r="E49" s="42" t="s">
        <v>626</v>
      </c>
      <c r="F49" s="50">
        <v>7</v>
      </c>
      <c r="G49" s="50">
        <v>0.44</v>
      </c>
      <c r="V49">
        <f t="shared" si="1"/>
        <v>0</v>
      </c>
      <c r="AA49" s="55"/>
      <c r="AC49" s="55"/>
      <c r="AE49" s="55"/>
    </row>
    <row r="50" spans="1:31" x14ac:dyDescent="0.25">
      <c r="A50" s="48">
        <v>608</v>
      </c>
      <c r="B50" s="49"/>
      <c r="C50" s="1" t="s">
        <v>91</v>
      </c>
      <c r="D50" s="3" t="s">
        <v>92</v>
      </c>
      <c r="E50" s="42" t="s">
        <v>626</v>
      </c>
      <c r="F50" s="50">
        <v>7</v>
      </c>
      <c r="G50" s="50">
        <v>0.44</v>
      </c>
      <c r="V50">
        <f t="shared" si="1"/>
        <v>0</v>
      </c>
      <c r="AA50" s="55"/>
      <c r="AC50" s="55"/>
      <c r="AE50" s="55"/>
    </row>
    <row r="51" spans="1:31" x14ac:dyDescent="0.25">
      <c r="A51" s="48">
        <v>609</v>
      </c>
      <c r="B51" s="49"/>
      <c r="C51" s="1" t="s">
        <v>93</v>
      </c>
      <c r="D51" s="3" t="s">
        <v>94</v>
      </c>
      <c r="E51" s="42" t="s">
        <v>626</v>
      </c>
      <c r="F51" s="50">
        <v>8</v>
      </c>
      <c r="G51" s="50">
        <v>0.4</v>
      </c>
      <c r="V51">
        <f t="shared" si="1"/>
        <v>0</v>
      </c>
      <c r="AA51" s="55"/>
      <c r="AC51" s="55"/>
      <c r="AE51" s="55"/>
    </row>
    <row r="52" spans="1:31" x14ac:dyDescent="0.25">
      <c r="A52" s="48">
        <v>610</v>
      </c>
      <c r="B52" s="49"/>
      <c r="C52" s="1" t="s">
        <v>95</v>
      </c>
      <c r="D52" s="3" t="s">
        <v>96</v>
      </c>
      <c r="E52" s="42" t="s">
        <v>626</v>
      </c>
      <c r="F52" s="50">
        <v>8</v>
      </c>
      <c r="G52" s="50">
        <v>0.4</v>
      </c>
      <c r="V52">
        <f t="shared" si="1"/>
        <v>0</v>
      </c>
      <c r="AA52" s="55"/>
      <c r="AC52" s="55"/>
      <c r="AE52" s="55"/>
    </row>
    <row r="53" spans="1:31" x14ac:dyDescent="0.25">
      <c r="A53" s="48">
        <v>611</v>
      </c>
      <c r="B53" s="49"/>
      <c r="C53" s="1" t="s">
        <v>97</v>
      </c>
      <c r="D53" s="3" t="s">
        <v>98</v>
      </c>
      <c r="E53" s="42" t="s">
        <v>626</v>
      </c>
      <c r="F53" s="50">
        <v>100</v>
      </c>
      <c r="G53" s="50">
        <v>0.4</v>
      </c>
      <c r="V53">
        <f t="shared" si="1"/>
        <v>0</v>
      </c>
      <c r="AA53" s="55"/>
      <c r="AC53" s="55"/>
      <c r="AE53" s="55"/>
    </row>
    <row r="54" spans="1:31" x14ac:dyDescent="0.25">
      <c r="A54" s="48">
        <v>612</v>
      </c>
      <c r="B54" s="49"/>
      <c r="C54" s="1" t="s">
        <v>99</v>
      </c>
      <c r="D54" s="3" t="s">
        <v>100</v>
      </c>
      <c r="E54" s="42" t="s">
        <v>626</v>
      </c>
      <c r="F54" s="50">
        <v>70</v>
      </c>
      <c r="G54" s="50">
        <v>0.4</v>
      </c>
      <c r="V54">
        <f t="shared" si="1"/>
        <v>0</v>
      </c>
      <c r="AA54" s="55"/>
      <c r="AC54" s="55"/>
      <c r="AE54" s="55"/>
    </row>
    <row r="55" spans="1:31" x14ac:dyDescent="0.25">
      <c r="A55" s="48">
        <v>625</v>
      </c>
      <c r="B55" s="49"/>
      <c r="C55" s="1" t="s">
        <v>101</v>
      </c>
      <c r="D55" s="3" t="s">
        <v>102</v>
      </c>
      <c r="E55" s="42" t="s">
        <v>626</v>
      </c>
      <c r="F55" s="50">
        <v>400</v>
      </c>
      <c r="G55" s="50">
        <v>0.4</v>
      </c>
      <c r="V55">
        <f t="shared" si="1"/>
        <v>0</v>
      </c>
      <c r="AA55" s="55"/>
      <c r="AC55" s="55"/>
      <c r="AE55" s="55"/>
    </row>
    <row r="56" spans="1:31" x14ac:dyDescent="0.25">
      <c r="A56" s="48">
        <v>628</v>
      </c>
      <c r="B56" s="49"/>
      <c r="C56" s="1" t="s">
        <v>103</v>
      </c>
      <c r="D56" s="3" t="s">
        <v>104</v>
      </c>
      <c r="E56" s="42" t="s">
        <v>626</v>
      </c>
      <c r="F56" s="50">
        <v>400</v>
      </c>
      <c r="G56" s="50">
        <v>0.4</v>
      </c>
      <c r="V56">
        <f t="shared" si="1"/>
        <v>0</v>
      </c>
      <c r="AA56" s="55"/>
      <c r="AC56" s="55"/>
      <c r="AE56" s="55"/>
    </row>
    <row r="57" spans="1:31" ht="18.75" x14ac:dyDescent="0.25">
      <c r="A57" s="48">
        <v>98</v>
      </c>
      <c r="B57" s="49"/>
      <c r="C57" s="6" t="s">
        <v>105</v>
      </c>
      <c r="D57" s="3" t="s">
        <v>106</v>
      </c>
      <c r="E57" s="42" t="s">
        <v>626</v>
      </c>
      <c r="F57" s="50">
        <v>30</v>
      </c>
      <c r="G57" s="50">
        <v>0.28000000000000003</v>
      </c>
      <c r="V57">
        <f t="shared" si="1"/>
        <v>0</v>
      </c>
      <c r="AA57" s="55"/>
      <c r="AC57" s="55"/>
      <c r="AE57" s="55"/>
    </row>
    <row r="58" spans="1:31" ht="18.75" x14ac:dyDescent="0.25">
      <c r="A58" s="48">
        <v>99</v>
      </c>
      <c r="B58" s="49"/>
      <c r="C58" s="6" t="s">
        <v>107</v>
      </c>
      <c r="D58" s="3" t="s">
        <v>108</v>
      </c>
      <c r="E58" s="42" t="s">
        <v>645</v>
      </c>
      <c r="F58" s="50">
        <v>12</v>
      </c>
      <c r="G58" s="50">
        <v>0.3</v>
      </c>
      <c r="V58">
        <f t="shared" si="1"/>
        <v>0</v>
      </c>
      <c r="AA58" s="55"/>
      <c r="AC58" s="55"/>
      <c r="AE58" s="55"/>
    </row>
    <row r="59" spans="1:31" x14ac:dyDescent="0.25">
      <c r="A59" s="48">
        <v>107</v>
      </c>
      <c r="B59" s="4"/>
      <c r="C59" s="4"/>
      <c r="D59" s="4" t="s">
        <v>109</v>
      </c>
      <c r="E59" s="4"/>
      <c r="F59" s="51">
        <f>SUM(F46:F58)</f>
        <v>1388</v>
      </c>
      <c r="G59" s="51">
        <v>4.41</v>
      </c>
      <c r="V59">
        <f t="shared" si="1"/>
        <v>0</v>
      </c>
      <c r="AA59" s="55"/>
      <c r="AC59" s="55"/>
      <c r="AE59" s="55"/>
    </row>
    <row r="60" spans="1:31" x14ac:dyDescent="0.25">
      <c r="A60" s="48"/>
      <c r="B60" s="49"/>
      <c r="C60" s="1" t="s">
        <v>110</v>
      </c>
      <c r="D60" s="3" t="s">
        <v>111</v>
      </c>
      <c r="E60" s="42" t="s">
        <v>645</v>
      </c>
      <c r="F60" s="50">
        <v>12</v>
      </c>
      <c r="G60" s="50">
        <v>0.32</v>
      </c>
      <c r="V60">
        <f t="shared" si="1"/>
        <v>0</v>
      </c>
      <c r="AA60" s="55"/>
      <c r="AC60" s="55"/>
      <c r="AE60" s="55"/>
    </row>
    <row r="61" spans="1:31" x14ac:dyDescent="0.25">
      <c r="A61" s="48">
        <v>115</v>
      </c>
      <c r="B61" s="49"/>
      <c r="C61" s="1" t="s">
        <v>112</v>
      </c>
      <c r="D61" s="3" t="s">
        <v>113</v>
      </c>
      <c r="E61" s="42" t="s">
        <v>645</v>
      </c>
      <c r="F61" s="50">
        <v>24</v>
      </c>
      <c r="G61" s="50">
        <v>0.37</v>
      </c>
      <c r="V61">
        <f t="shared" si="1"/>
        <v>0</v>
      </c>
      <c r="AA61" s="55"/>
      <c r="AC61" s="55"/>
      <c r="AE61" s="55"/>
    </row>
    <row r="62" spans="1:31" x14ac:dyDescent="0.25">
      <c r="A62" s="48">
        <v>116</v>
      </c>
      <c r="B62" s="49"/>
      <c r="C62" s="1" t="s">
        <v>114</v>
      </c>
      <c r="D62" s="3" t="s">
        <v>115</v>
      </c>
      <c r="E62" s="42" t="s">
        <v>645</v>
      </c>
      <c r="F62" s="50">
        <v>24</v>
      </c>
      <c r="G62" s="50">
        <v>0.43</v>
      </c>
      <c r="V62">
        <f t="shared" si="1"/>
        <v>0</v>
      </c>
      <c r="AA62" s="55"/>
      <c r="AC62" s="55"/>
      <c r="AE62" s="55"/>
    </row>
    <row r="63" spans="1:31" x14ac:dyDescent="0.25">
      <c r="A63" s="48">
        <v>121</v>
      </c>
      <c r="B63" s="49"/>
      <c r="C63" s="1" t="s">
        <v>116</v>
      </c>
      <c r="D63" s="3" t="s">
        <v>117</v>
      </c>
      <c r="E63" s="42" t="s">
        <v>645</v>
      </c>
      <c r="F63" s="50">
        <v>10</v>
      </c>
      <c r="G63" s="50">
        <v>0.32</v>
      </c>
      <c r="V63">
        <f t="shared" si="1"/>
        <v>0</v>
      </c>
      <c r="AA63" s="55"/>
      <c r="AC63" s="55"/>
      <c r="AE63" s="55"/>
    </row>
    <row r="64" spans="1:31" x14ac:dyDescent="0.25">
      <c r="A64" s="48">
        <v>114</v>
      </c>
      <c r="B64" s="49"/>
      <c r="C64" s="1" t="s">
        <v>118</v>
      </c>
      <c r="D64" s="3" t="s">
        <v>119</v>
      </c>
      <c r="E64" s="42" t="s">
        <v>645</v>
      </c>
      <c r="F64" s="50">
        <v>10</v>
      </c>
      <c r="G64" s="50">
        <v>0.32</v>
      </c>
      <c r="V64">
        <f t="shared" si="1"/>
        <v>0</v>
      </c>
      <c r="AA64" s="55"/>
      <c r="AC64" s="55"/>
      <c r="AE64" s="55"/>
    </row>
    <row r="65" spans="1:31" x14ac:dyDescent="0.25">
      <c r="B65" s="49"/>
      <c r="C65" s="1" t="s">
        <v>120</v>
      </c>
      <c r="D65" s="3" t="s">
        <v>121</v>
      </c>
      <c r="E65" s="42" t="s">
        <v>645</v>
      </c>
      <c r="F65" s="50">
        <v>28</v>
      </c>
      <c r="G65" s="50">
        <v>0.66</v>
      </c>
      <c r="V65">
        <f t="shared" si="1"/>
        <v>0</v>
      </c>
      <c r="AA65" s="55"/>
      <c r="AC65" s="55"/>
      <c r="AE65" s="55"/>
    </row>
    <row r="66" spans="1:31" ht="21" x14ac:dyDescent="0.25">
      <c r="A66" s="48">
        <v>118</v>
      </c>
      <c r="B66" s="49"/>
      <c r="C66" s="7" t="s">
        <v>122</v>
      </c>
      <c r="D66" s="3" t="s">
        <v>123</v>
      </c>
      <c r="E66" s="42" t="s">
        <v>645</v>
      </c>
      <c r="F66" s="50">
        <v>16</v>
      </c>
      <c r="G66" s="50">
        <v>0.32</v>
      </c>
      <c r="V66">
        <f t="shared" si="1"/>
        <v>0</v>
      </c>
      <c r="AA66" s="55"/>
      <c r="AC66" s="55"/>
      <c r="AE66" s="55"/>
    </row>
    <row r="67" spans="1:31" ht="21" x14ac:dyDescent="0.25">
      <c r="A67" s="48">
        <v>117</v>
      </c>
      <c r="B67" s="49"/>
      <c r="C67" s="7" t="s">
        <v>124</v>
      </c>
      <c r="D67" s="3" t="s">
        <v>125</v>
      </c>
      <c r="E67" s="42" t="s">
        <v>645</v>
      </c>
      <c r="F67" s="50">
        <v>14</v>
      </c>
      <c r="G67" s="50">
        <v>0.32</v>
      </c>
      <c r="V67">
        <f t="shared" si="1"/>
        <v>0</v>
      </c>
      <c r="AA67" s="55"/>
      <c r="AC67" s="55"/>
      <c r="AE67" s="55"/>
    </row>
    <row r="68" spans="1:31" x14ac:dyDescent="0.25">
      <c r="A68" s="48">
        <v>122</v>
      </c>
      <c r="B68" s="4"/>
      <c r="C68" s="4"/>
      <c r="D68" s="4" t="s">
        <v>126</v>
      </c>
      <c r="E68" s="4"/>
      <c r="F68" s="4">
        <f>SUM(F60:F67)</f>
        <v>138</v>
      </c>
      <c r="G68" s="4">
        <v>3.0599999999999996</v>
      </c>
      <c r="V68">
        <f t="shared" si="1"/>
        <v>0</v>
      </c>
      <c r="AA68" s="55"/>
      <c r="AC68" s="55"/>
      <c r="AE68" s="55"/>
    </row>
    <row r="69" spans="1:31" x14ac:dyDescent="0.25">
      <c r="B69" s="49"/>
      <c r="C69" s="1" t="s">
        <v>127</v>
      </c>
      <c r="D69" s="3" t="s">
        <v>128</v>
      </c>
      <c r="E69" s="42" t="s">
        <v>645</v>
      </c>
      <c r="F69" s="50">
        <v>25</v>
      </c>
      <c r="G69" s="50">
        <v>0.69</v>
      </c>
      <c r="V69">
        <f t="shared" si="1"/>
        <v>0</v>
      </c>
      <c r="AA69" s="55"/>
      <c r="AC69" s="55"/>
      <c r="AE69" s="55"/>
    </row>
    <row r="70" spans="1:31" x14ac:dyDescent="0.25">
      <c r="B70" s="49"/>
      <c r="C70" s="1" t="s">
        <v>129</v>
      </c>
      <c r="D70" s="3" t="s">
        <v>130</v>
      </c>
      <c r="E70" s="42" t="s">
        <v>645</v>
      </c>
      <c r="F70" s="50">
        <v>12</v>
      </c>
      <c r="G70" s="50">
        <v>0.79</v>
      </c>
      <c r="V70">
        <f t="shared" si="1"/>
        <v>0</v>
      </c>
      <c r="AA70" s="55"/>
      <c r="AC70" s="55"/>
      <c r="AE70" s="55"/>
    </row>
    <row r="71" spans="1:31" x14ac:dyDescent="0.25">
      <c r="B71" s="49"/>
      <c r="C71" s="1" t="s">
        <v>131</v>
      </c>
      <c r="D71" s="3" t="s">
        <v>132</v>
      </c>
      <c r="E71" s="42" t="s">
        <v>645</v>
      </c>
      <c r="F71" s="50">
        <v>12</v>
      </c>
      <c r="G71" s="50">
        <v>0.79</v>
      </c>
      <c r="V71">
        <f t="shared" si="1"/>
        <v>0</v>
      </c>
      <c r="AA71" s="55"/>
      <c r="AC71" s="55"/>
      <c r="AE71" s="55"/>
    </row>
    <row r="72" spans="1:31" x14ac:dyDescent="0.25">
      <c r="B72" s="49"/>
      <c r="C72" s="1" t="s">
        <v>133</v>
      </c>
      <c r="D72" s="3" t="s">
        <v>134</v>
      </c>
      <c r="E72" s="42" t="s">
        <v>645</v>
      </c>
      <c r="F72" s="50">
        <v>12</v>
      </c>
      <c r="G72" s="50">
        <v>0.81</v>
      </c>
      <c r="V72">
        <f t="shared" si="1"/>
        <v>0</v>
      </c>
      <c r="AA72" s="55"/>
      <c r="AC72" s="55"/>
      <c r="AE72" s="55"/>
    </row>
    <row r="73" spans="1:31" ht="23.25" x14ac:dyDescent="0.25">
      <c r="B73" s="49"/>
      <c r="C73" s="1" t="s">
        <v>135</v>
      </c>
      <c r="D73" s="8" t="s">
        <v>136</v>
      </c>
      <c r="E73" s="42" t="s">
        <v>645</v>
      </c>
      <c r="F73" s="50">
        <v>10</v>
      </c>
      <c r="G73" s="50">
        <v>0.85</v>
      </c>
      <c r="V73">
        <f t="shared" si="1"/>
        <v>0</v>
      </c>
      <c r="AA73" s="55"/>
      <c r="AC73" s="55"/>
      <c r="AE73" s="55"/>
    </row>
    <row r="74" spans="1:31" ht="23.25" x14ac:dyDescent="0.25">
      <c r="B74" s="49"/>
      <c r="C74" s="1" t="s">
        <v>137</v>
      </c>
      <c r="D74" s="8" t="s">
        <v>138</v>
      </c>
      <c r="E74" s="42" t="s">
        <v>645</v>
      </c>
      <c r="F74" s="50">
        <v>10</v>
      </c>
      <c r="G74" s="50">
        <v>0.77</v>
      </c>
      <c r="V74">
        <f t="shared" si="1"/>
        <v>0</v>
      </c>
      <c r="AA74" s="55"/>
      <c r="AC74" s="55"/>
      <c r="AE74" s="55"/>
    </row>
    <row r="75" spans="1:31" ht="23.25" x14ac:dyDescent="0.25">
      <c r="B75" s="49"/>
      <c r="C75" s="1" t="s">
        <v>139</v>
      </c>
      <c r="D75" s="8" t="s">
        <v>140</v>
      </c>
      <c r="E75" s="42"/>
      <c r="F75" s="50">
        <v>8</v>
      </c>
      <c r="G75" s="50">
        <v>0.85</v>
      </c>
      <c r="V75">
        <f t="shared" si="1"/>
        <v>0</v>
      </c>
      <c r="AA75" s="55"/>
      <c r="AC75" s="55"/>
      <c r="AE75" s="55"/>
    </row>
    <row r="76" spans="1:31" x14ac:dyDescent="0.25">
      <c r="B76" s="4"/>
      <c r="C76" s="4"/>
      <c r="D76" s="4" t="s">
        <v>141</v>
      </c>
      <c r="E76" s="4">
        <f>SUM(E69:E72)</f>
        <v>0</v>
      </c>
      <c r="F76" s="4">
        <f>SUM(F69:F75)</f>
        <v>89</v>
      </c>
      <c r="G76" s="4">
        <v>5.4399999999999995</v>
      </c>
      <c r="V76">
        <f t="shared" si="1"/>
        <v>0</v>
      </c>
      <c r="AA76" s="55"/>
      <c r="AC76" s="55"/>
      <c r="AE76" s="55"/>
    </row>
    <row r="77" spans="1:31" ht="18.75" x14ac:dyDescent="0.25">
      <c r="B77" s="49"/>
      <c r="C77" s="9" t="s">
        <v>142</v>
      </c>
      <c r="D77" s="3" t="s">
        <v>677</v>
      </c>
      <c r="E77" s="42" t="s">
        <v>626</v>
      </c>
      <c r="F77" s="50">
        <v>28</v>
      </c>
      <c r="G77" s="50">
        <v>0.33</v>
      </c>
      <c r="V77">
        <f t="shared" si="1"/>
        <v>0</v>
      </c>
      <c r="AA77" s="55"/>
      <c r="AC77" s="55"/>
      <c r="AE77" s="55"/>
    </row>
    <row r="78" spans="1:31" ht="18.75" x14ac:dyDescent="0.25">
      <c r="B78" s="49"/>
      <c r="C78" s="9" t="s">
        <v>143</v>
      </c>
      <c r="D78" s="3" t="s">
        <v>678</v>
      </c>
      <c r="E78" s="42" t="s">
        <v>626</v>
      </c>
      <c r="F78" s="50">
        <v>42</v>
      </c>
      <c r="G78" s="50">
        <v>0.35</v>
      </c>
      <c r="V78">
        <f t="shared" si="1"/>
        <v>0</v>
      </c>
      <c r="AA78" s="55"/>
      <c r="AC78" s="55"/>
      <c r="AE78" s="55"/>
    </row>
    <row r="79" spans="1:31" ht="18.75" x14ac:dyDescent="0.25">
      <c r="B79" s="49"/>
      <c r="C79" s="9" t="s">
        <v>144</v>
      </c>
      <c r="D79" s="3" t="s">
        <v>145</v>
      </c>
      <c r="E79" s="42" t="s">
        <v>626</v>
      </c>
      <c r="F79" s="50">
        <v>5</v>
      </c>
      <c r="G79" s="50">
        <v>0.2</v>
      </c>
      <c r="V79">
        <f t="shared" si="1"/>
        <v>0</v>
      </c>
      <c r="AA79" s="55"/>
      <c r="AC79" s="55"/>
      <c r="AE79" s="55"/>
    </row>
    <row r="80" spans="1:31" x14ac:dyDescent="0.25">
      <c r="B80" s="4"/>
      <c r="C80" s="4"/>
      <c r="D80" s="4" t="s">
        <v>146</v>
      </c>
      <c r="E80" s="4">
        <f>SUM(E77:E79)</f>
        <v>0</v>
      </c>
      <c r="F80" s="4">
        <f>SUM(F77:F79)</f>
        <v>75</v>
      </c>
      <c r="G80" s="4">
        <v>0.87999999999999989</v>
      </c>
      <c r="V80">
        <f t="shared" si="1"/>
        <v>0</v>
      </c>
      <c r="AA80" s="55"/>
      <c r="AC80" s="55"/>
      <c r="AE80" s="55"/>
    </row>
    <row r="81" spans="2:31" x14ac:dyDescent="0.25">
      <c r="B81" s="49"/>
      <c r="C81" s="10" t="s">
        <v>147</v>
      </c>
      <c r="D81" s="10" t="s">
        <v>148</v>
      </c>
      <c r="E81" s="42" t="s">
        <v>626</v>
      </c>
      <c r="F81" s="50">
        <v>12</v>
      </c>
      <c r="G81" s="50">
        <v>0.33</v>
      </c>
      <c r="V81">
        <f t="shared" si="1"/>
        <v>0</v>
      </c>
      <c r="AA81" s="55"/>
      <c r="AC81" s="55"/>
      <c r="AE81" s="55"/>
    </row>
    <row r="82" spans="2:31" x14ac:dyDescent="0.25">
      <c r="B82" s="49"/>
      <c r="C82" s="10" t="s">
        <v>149</v>
      </c>
      <c r="D82" s="10" t="s">
        <v>150</v>
      </c>
      <c r="E82" s="42" t="s">
        <v>626</v>
      </c>
      <c r="F82" s="50">
        <v>12</v>
      </c>
      <c r="G82" s="50">
        <v>0.33</v>
      </c>
      <c r="V82">
        <f t="shared" si="1"/>
        <v>0</v>
      </c>
      <c r="AA82" s="55"/>
      <c r="AC82" s="55"/>
      <c r="AE82" s="55"/>
    </row>
    <row r="83" spans="2:31" x14ac:dyDescent="0.25">
      <c r="B83" s="49"/>
      <c r="C83" s="11" t="s">
        <v>151</v>
      </c>
      <c r="D83" s="11" t="s">
        <v>152</v>
      </c>
      <c r="E83" s="42"/>
      <c r="F83" s="50">
        <v>12</v>
      </c>
      <c r="G83" s="50">
        <v>0.57999999999999996</v>
      </c>
      <c r="V83">
        <f t="shared" ref="V83:V146" si="7">S83*G83</f>
        <v>0</v>
      </c>
      <c r="AA83" s="55"/>
      <c r="AC83" s="55"/>
      <c r="AE83" s="55"/>
    </row>
    <row r="84" spans="2:31" x14ac:dyDescent="0.25">
      <c r="B84" s="49"/>
      <c r="C84" s="11" t="s">
        <v>153</v>
      </c>
      <c r="D84" s="11" t="s">
        <v>154</v>
      </c>
      <c r="E84" s="42"/>
      <c r="F84" s="50">
        <v>60</v>
      </c>
      <c r="G84" s="50">
        <v>0.57999999999999996</v>
      </c>
      <c r="V84">
        <f t="shared" si="7"/>
        <v>0</v>
      </c>
      <c r="AA84" s="55"/>
      <c r="AC84" s="55"/>
      <c r="AE84" s="55"/>
    </row>
    <row r="85" spans="2:31" x14ac:dyDescent="0.25">
      <c r="B85" s="49"/>
      <c r="C85" s="11" t="s">
        <v>155</v>
      </c>
      <c r="D85" s="11" t="s">
        <v>156</v>
      </c>
      <c r="E85" s="42"/>
      <c r="F85" s="50">
        <v>12</v>
      </c>
      <c r="G85" s="50">
        <v>0.57999999999999996</v>
      </c>
      <c r="V85">
        <f t="shared" si="7"/>
        <v>0</v>
      </c>
      <c r="AA85" s="55"/>
      <c r="AC85" s="55"/>
      <c r="AE85" s="55"/>
    </row>
    <row r="86" spans="2:31" x14ac:dyDescent="0.25">
      <c r="B86" s="49"/>
      <c r="C86" s="12" t="s">
        <v>157</v>
      </c>
      <c r="D86" s="12" t="s">
        <v>158</v>
      </c>
      <c r="E86" s="42" t="s">
        <v>626</v>
      </c>
      <c r="F86" s="50">
        <v>10</v>
      </c>
      <c r="G86" s="50">
        <v>0.57999999999999996</v>
      </c>
      <c r="V86">
        <f t="shared" si="7"/>
        <v>0</v>
      </c>
      <c r="AA86" s="55"/>
      <c r="AC86" s="55"/>
      <c r="AE86" s="55"/>
    </row>
    <row r="87" spans="2:31" x14ac:dyDescent="0.25">
      <c r="B87" s="49"/>
      <c r="C87" s="12" t="s">
        <v>159</v>
      </c>
      <c r="D87" s="12" t="s">
        <v>160</v>
      </c>
      <c r="E87" s="42" t="s">
        <v>626</v>
      </c>
      <c r="F87" s="50">
        <v>10</v>
      </c>
      <c r="G87" s="50">
        <v>0.57999999999999996</v>
      </c>
      <c r="V87">
        <f t="shared" si="7"/>
        <v>0</v>
      </c>
      <c r="AA87" s="55"/>
      <c r="AC87" s="55"/>
      <c r="AE87" s="55"/>
    </row>
    <row r="88" spans="2:31" x14ac:dyDescent="0.25">
      <c r="B88" s="49"/>
      <c r="C88" s="13" t="s">
        <v>161</v>
      </c>
      <c r="D88" s="13" t="s">
        <v>162</v>
      </c>
      <c r="E88" s="42" t="s">
        <v>626</v>
      </c>
      <c r="F88" s="50">
        <v>8</v>
      </c>
      <c r="G88" s="50">
        <v>0.48</v>
      </c>
      <c r="V88">
        <f t="shared" si="7"/>
        <v>0</v>
      </c>
      <c r="AA88" s="55"/>
      <c r="AC88" s="55"/>
      <c r="AE88" s="55"/>
    </row>
    <row r="89" spans="2:31" x14ac:dyDescent="0.25">
      <c r="B89" s="49"/>
      <c r="C89" s="13" t="s">
        <v>163</v>
      </c>
      <c r="D89" s="13" t="s">
        <v>164</v>
      </c>
      <c r="E89" s="42" t="s">
        <v>626</v>
      </c>
      <c r="F89" s="50">
        <v>8</v>
      </c>
      <c r="G89" s="50">
        <v>0.48</v>
      </c>
      <c r="V89">
        <f t="shared" si="7"/>
        <v>0</v>
      </c>
      <c r="AA89" s="55"/>
      <c r="AC89" s="55"/>
      <c r="AE89" s="55"/>
    </row>
    <row r="90" spans="2:31" x14ac:dyDescent="0.25">
      <c r="B90" s="49"/>
      <c r="C90" s="14" t="s">
        <v>165</v>
      </c>
      <c r="D90" s="14" t="s">
        <v>166</v>
      </c>
      <c r="E90" s="42" t="s">
        <v>626</v>
      </c>
      <c r="F90" s="50">
        <v>15</v>
      </c>
      <c r="G90" s="50">
        <v>0.57999999999999996</v>
      </c>
      <c r="V90">
        <f t="shared" si="7"/>
        <v>0</v>
      </c>
      <c r="AA90" s="55"/>
      <c r="AC90" s="55"/>
      <c r="AE90" s="55"/>
    </row>
    <row r="91" spans="2:31" x14ac:dyDescent="0.25">
      <c r="B91" s="49"/>
      <c r="C91" s="14" t="s">
        <v>167</v>
      </c>
      <c r="D91" s="14" t="s">
        <v>168</v>
      </c>
      <c r="E91" s="42" t="s">
        <v>626</v>
      </c>
      <c r="F91" s="50">
        <v>15</v>
      </c>
      <c r="G91" s="50">
        <v>0.57999999999999996</v>
      </c>
      <c r="V91">
        <f t="shared" si="7"/>
        <v>0</v>
      </c>
      <c r="AA91" s="55"/>
      <c r="AC91" s="55"/>
      <c r="AE91" s="55"/>
    </row>
    <row r="92" spans="2:31" ht="18.75" thickBot="1" x14ac:dyDescent="0.3">
      <c r="B92" s="49"/>
      <c r="C92" s="14" t="s">
        <v>169</v>
      </c>
      <c r="D92" s="14" t="s">
        <v>170</v>
      </c>
      <c r="E92" s="42" t="s">
        <v>626</v>
      </c>
      <c r="F92" s="50">
        <v>60</v>
      </c>
      <c r="G92" s="50">
        <v>0.57999999999999996</v>
      </c>
      <c r="V92">
        <f t="shared" si="7"/>
        <v>0</v>
      </c>
      <c r="AA92" s="55"/>
      <c r="AC92" s="55"/>
      <c r="AE92" s="55"/>
    </row>
    <row r="93" spans="2:31" ht="18.75" thickBot="1" x14ac:dyDescent="0.3">
      <c r="B93" s="49"/>
      <c r="C93" s="15" t="s">
        <v>171</v>
      </c>
      <c r="D93" s="16" t="s">
        <v>172</v>
      </c>
      <c r="E93" s="42" t="s">
        <v>626</v>
      </c>
      <c r="F93" s="50">
        <v>10</v>
      </c>
      <c r="G93" s="50">
        <v>0.57999999999999996</v>
      </c>
      <c r="V93">
        <f t="shared" si="7"/>
        <v>0</v>
      </c>
      <c r="AA93" s="55"/>
      <c r="AC93" s="55"/>
      <c r="AE93" s="55"/>
    </row>
    <row r="94" spans="2:31" ht="18.75" thickBot="1" x14ac:dyDescent="0.3">
      <c r="B94" s="49"/>
      <c r="C94" s="17" t="s">
        <v>173</v>
      </c>
      <c r="D94" s="18" t="s">
        <v>174</v>
      </c>
      <c r="E94" s="42" t="s">
        <v>626</v>
      </c>
      <c r="F94" s="50">
        <v>10</v>
      </c>
      <c r="G94" s="50">
        <v>0.57999999999999996</v>
      </c>
      <c r="V94">
        <f t="shared" si="7"/>
        <v>0</v>
      </c>
      <c r="AA94" s="55"/>
      <c r="AC94" s="55"/>
      <c r="AE94" s="55"/>
    </row>
    <row r="95" spans="2:31" ht="18.75" thickBot="1" x14ac:dyDescent="0.3">
      <c r="B95" s="49"/>
      <c r="C95" s="17" t="s">
        <v>175</v>
      </c>
      <c r="D95" s="18" t="s">
        <v>176</v>
      </c>
      <c r="E95" s="42" t="s">
        <v>626</v>
      </c>
      <c r="F95" s="50">
        <v>120</v>
      </c>
      <c r="G95" s="50">
        <v>0.57999999999999996</v>
      </c>
      <c r="V95">
        <f t="shared" si="7"/>
        <v>0</v>
      </c>
      <c r="AA95" s="55"/>
      <c r="AC95" s="55"/>
      <c r="AE95" s="55"/>
    </row>
    <row r="96" spans="2:31" ht="19.5" thickBot="1" x14ac:dyDescent="0.3">
      <c r="B96" s="49"/>
      <c r="C96" s="19" t="s">
        <v>177</v>
      </c>
      <c r="D96" s="20" t="s">
        <v>178</v>
      </c>
      <c r="E96" s="42" t="s">
        <v>626</v>
      </c>
      <c r="F96" s="50">
        <v>12</v>
      </c>
      <c r="G96" s="50">
        <v>0.79</v>
      </c>
      <c r="V96">
        <f t="shared" si="7"/>
        <v>0</v>
      </c>
      <c r="AA96" s="55"/>
      <c r="AC96" s="55"/>
      <c r="AE96" s="55"/>
    </row>
    <row r="97" spans="1:31" ht="19.5" thickBot="1" x14ac:dyDescent="0.3">
      <c r="B97" s="49"/>
      <c r="C97" s="21" t="s">
        <v>179</v>
      </c>
      <c r="D97" s="22" t="s">
        <v>180</v>
      </c>
      <c r="E97" s="42" t="s">
        <v>626</v>
      </c>
      <c r="F97" s="50">
        <v>12</v>
      </c>
      <c r="G97" s="50">
        <v>0.79</v>
      </c>
      <c r="V97">
        <f t="shared" si="7"/>
        <v>0</v>
      </c>
      <c r="AA97" s="55"/>
      <c r="AC97" s="55"/>
      <c r="AE97" s="55"/>
    </row>
    <row r="98" spans="1:31" ht="19.5" thickBot="1" x14ac:dyDescent="0.3">
      <c r="B98" s="49"/>
      <c r="C98" s="21" t="s">
        <v>181</v>
      </c>
      <c r="D98" s="22" t="s">
        <v>182</v>
      </c>
      <c r="E98" s="42" t="s">
        <v>626</v>
      </c>
      <c r="F98" s="50">
        <v>120</v>
      </c>
      <c r="G98" s="50">
        <v>0.79</v>
      </c>
      <c r="V98">
        <f t="shared" si="7"/>
        <v>0</v>
      </c>
      <c r="AA98" s="55"/>
      <c r="AC98" s="55"/>
      <c r="AE98" s="55"/>
    </row>
    <row r="99" spans="1:31" x14ac:dyDescent="0.25">
      <c r="A99" s="48">
        <v>316</v>
      </c>
      <c r="B99" s="4"/>
      <c r="C99" s="4"/>
      <c r="D99" s="4" t="s">
        <v>183</v>
      </c>
      <c r="E99" s="4"/>
      <c r="F99" s="4">
        <f>F81+F82+F83+F84+F85+F86+F87+F88+F89+F90+F91+F92+F93+F94+F95+F96+F97+F98</f>
        <v>518</v>
      </c>
      <c r="G99" s="4">
        <v>10.369999999999997</v>
      </c>
      <c r="V99">
        <f t="shared" si="7"/>
        <v>0</v>
      </c>
      <c r="AA99" s="55"/>
      <c r="AC99" s="55"/>
      <c r="AE99" s="55"/>
    </row>
    <row r="100" spans="1:31" x14ac:dyDescent="0.25">
      <c r="B100" s="49"/>
      <c r="C100" s="1" t="s">
        <v>184</v>
      </c>
      <c r="D100" s="3" t="s">
        <v>185</v>
      </c>
      <c r="E100" s="42" t="s">
        <v>626</v>
      </c>
      <c r="F100" s="50">
        <v>10</v>
      </c>
      <c r="G100" s="50">
        <v>0.21</v>
      </c>
      <c r="V100">
        <f t="shared" si="7"/>
        <v>0</v>
      </c>
      <c r="AA100" s="55"/>
      <c r="AC100" s="55"/>
      <c r="AE100" s="55"/>
    </row>
    <row r="101" spans="1:31" x14ac:dyDescent="0.25">
      <c r="B101" s="49"/>
      <c r="C101" s="1" t="s">
        <v>186</v>
      </c>
      <c r="D101" s="3" t="s">
        <v>187</v>
      </c>
      <c r="E101" s="42" t="s">
        <v>626</v>
      </c>
      <c r="F101" s="50">
        <v>5</v>
      </c>
      <c r="G101" s="50">
        <v>0.3</v>
      </c>
      <c r="V101">
        <f t="shared" si="7"/>
        <v>0</v>
      </c>
      <c r="AA101" s="55"/>
      <c r="AC101" s="55"/>
      <c r="AE101" s="55"/>
    </row>
    <row r="102" spans="1:31" x14ac:dyDescent="0.25">
      <c r="B102" s="49"/>
      <c r="C102" s="1" t="s">
        <v>188</v>
      </c>
      <c r="D102" s="3" t="s">
        <v>189</v>
      </c>
      <c r="E102" s="42" t="s">
        <v>626</v>
      </c>
      <c r="F102" s="50">
        <v>5</v>
      </c>
      <c r="G102" s="50">
        <v>0.3</v>
      </c>
      <c r="V102">
        <f t="shared" si="7"/>
        <v>0</v>
      </c>
      <c r="AA102" s="55"/>
      <c r="AC102" s="55"/>
      <c r="AE102" s="55"/>
    </row>
    <row r="103" spans="1:31" x14ac:dyDescent="0.25">
      <c r="B103" s="49"/>
      <c r="C103" s="1" t="s">
        <v>190</v>
      </c>
      <c r="D103" s="3" t="s">
        <v>191</v>
      </c>
      <c r="E103" s="42" t="s">
        <v>626</v>
      </c>
      <c r="F103" s="50">
        <v>5</v>
      </c>
      <c r="G103" s="50">
        <v>0.28000000000000003</v>
      </c>
      <c r="V103">
        <f t="shared" si="7"/>
        <v>0</v>
      </c>
      <c r="AA103" s="55"/>
      <c r="AC103" s="55"/>
      <c r="AE103" s="55"/>
    </row>
    <row r="104" spans="1:31" x14ac:dyDescent="0.25">
      <c r="B104" s="49"/>
      <c r="C104" s="1" t="s">
        <v>192</v>
      </c>
      <c r="D104" s="3" t="s">
        <v>193</v>
      </c>
      <c r="E104" s="42" t="s">
        <v>626</v>
      </c>
      <c r="F104" s="50">
        <v>5</v>
      </c>
      <c r="G104" s="50">
        <v>0.3</v>
      </c>
      <c r="V104">
        <f t="shared" si="7"/>
        <v>0</v>
      </c>
      <c r="AA104" s="55"/>
      <c r="AC104" s="55"/>
      <c r="AE104" s="55"/>
    </row>
    <row r="105" spans="1:31" x14ac:dyDescent="0.25">
      <c r="B105" s="49"/>
      <c r="C105" s="1" t="s">
        <v>194</v>
      </c>
      <c r="D105" s="3" t="s">
        <v>195</v>
      </c>
      <c r="E105" s="42" t="s">
        <v>626</v>
      </c>
      <c r="F105" s="50">
        <v>5</v>
      </c>
      <c r="G105" s="50">
        <v>0.5</v>
      </c>
      <c r="V105">
        <f t="shared" si="7"/>
        <v>0</v>
      </c>
      <c r="AA105" s="55"/>
      <c r="AC105" s="55"/>
      <c r="AE105" s="55"/>
    </row>
    <row r="106" spans="1:31" x14ac:dyDescent="0.25">
      <c r="B106" s="49"/>
      <c r="C106" s="1" t="s">
        <v>196</v>
      </c>
      <c r="D106" s="3" t="s">
        <v>197</v>
      </c>
      <c r="E106" s="42" t="s">
        <v>626</v>
      </c>
      <c r="F106" s="50">
        <v>9</v>
      </c>
      <c r="G106" s="50">
        <v>0.5</v>
      </c>
      <c r="V106">
        <f t="shared" si="7"/>
        <v>0</v>
      </c>
      <c r="AA106" s="55"/>
      <c r="AC106" s="55"/>
      <c r="AE106" s="55"/>
    </row>
    <row r="107" spans="1:31" x14ac:dyDescent="0.25">
      <c r="B107" s="49"/>
      <c r="C107" s="1" t="s">
        <v>198</v>
      </c>
      <c r="D107" s="3" t="s">
        <v>199</v>
      </c>
      <c r="E107" s="42" t="s">
        <v>626</v>
      </c>
      <c r="F107" s="50">
        <v>4</v>
      </c>
      <c r="G107" s="50">
        <v>0.59</v>
      </c>
      <c r="V107">
        <f t="shared" si="7"/>
        <v>0</v>
      </c>
      <c r="AA107" s="55"/>
      <c r="AC107" s="55"/>
      <c r="AE107" s="55"/>
    </row>
    <row r="108" spans="1:31" x14ac:dyDescent="0.25">
      <c r="B108" s="49"/>
      <c r="C108" s="1" t="s">
        <v>200</v>
      </c>
      <c r="D108" s="3" t="s">
        <v>201</v>
      </c>
      <c r="E108" s="42" t="s">
        <v>626</v>
      </c>
      <c r="F108" s="50">
        <v>5</v>
      </c>
      <c r="G108" s="50">
        <v>0.6</v>
      </c>
      <c r="V108">
        <f t="shared" si="7"/>
        <v>0</v>
      </c>
      <c r="AA108" s="55"/>
      <c r="AC108" s="55"/>
      <c r="AE108" s="55"/>
    </row>
    <row r="109" spans="1:31" x14ac:dyDescent="0.25">
      <c r="B109" s="49"/>
      <c r="C109" s="1" t="s">
        <v>202</v>
      </c>
      <c r="D109" s="3" t="s">
        <v>203</v>
      </c>
      <c r="E109" s="42" t="s">
        <v>626</v>
      </c>
      <c r="F109" s="50">
        <v>9</v>
      </c>
      <c r="G109" s="50">
        <v>0.46</v>
      </c>
      <c r="V109">
        <f t="shared" si="7"/>
        <v>0</v>
      </c>
      <c r="AA109" s="55"/>
      <c r="AC109" s="55"/>
      <c r="AE109" s="55"/>
    </row>
    <row r="110" spans="1:31" x14ac:dyDescent="0.25">
      <c r="B110" s="49"/>
      <c r="C110" s="1" t="s">
        <v>204</v>
      </c>
      <c r="D110" s="3" t="s">
        <v>205</v>
      </c>
      <c r="E110" s="42" t="s">
        <v>626</v>
      </c>
      <c r="F110" s="50">
        <v>9</v>
      </c>
      <c r="G110" s="50">
        <v>0.5</v>
      </c>
      <c r="V110">
        <f t="shared" si="7"/>
        <v>0</v>
      </c>
      <c r="AA110" s="55"/>
      <c r="AC110" s="55"/>
      <c r="AE110" s="55"/>
    </row>
    <row r="111" spans="1:31" x14ac:dyDescent="0.25">
      <c r="B111" s="49"/>
      <c r="C111" s="1" t="s">
        <v>206</v>
      </c>
      <c r="D111" s="3" t="s">
        <v>207</v>
      </c>
      <c r="E111" s="42" t="s">
        <v>626</v>
      </c>
      <c r="F111" s="50">
        <v>9</v>
      </c>
      <c r="G111" s="50">
        <v>0.46</v>
      </c>
      <c r="V111">
        <f t="shared" si="7"/>
        <v>0</v>
      </c>
      <c r="AA111" s="55"/>
      <c r="AC111" s="55"/>
      <c r="AE111" s="55"/>
    </row>
    <row r="112" spans="1:31" x14ac:dyDescent="0.25">
      <c r="B112" s="49"/>
      <c r="C112" s="1" t="s">
        <v>208</v>
      </c>
      <c r="D112" s="3" t="s">
        <v>209</v>
      </c>
      <c r="E112" s="42" t="s">
        <v>626</v>
      </c>
      <c r="F112" s="50">
        <v>9</v>
      </c>
      <c r="G112" s="50">
        <v>0.46</v>
      </c>
      <c r="V112">
        <f t="shared" si="7"/>
        <v>0</v>
      </c>
      <c r="AA112" s="55"/>
      <c r="AC112" s="55"/>
      <c r="AE112" s="55"/>
    </row>
    <row r="113" spans="1:31" x14ac:dyDescent="0.25">
      <c r="B113" s="49"/>
      <c r="C113" s="1" t="s">
        <v>210</v>
      </c>
      <c r="D113" s="3" t="s">
        <v>211</v>
      </c>
      <c r="E113" s="42" t="s">
        <v>626</v>
      </c>
      <c r="F113" s="50">
        <v>27</v>
      </c>
      <c r="G113" s="50">
        <v>0.33</v>
      </c>
      <c r="V113">
        <f t="shared" si="7"/>
        <v>0</v>
      </c>
      <c r="AA113" s="55"/>
      <c r="AC113" s="55"/>
      <c r="AE113" s="55"/>
    </row>
    <row r="114" spans="1:31" x14ac:dyDescent="0.25">
      <c r="B114" s="49"/>
      <c r="C114" s="1" t="s">
        <v>212</v>
      </c>
      <c r="D114" s="3" t="s">
        <v>213</v>
      </c>
      <c r="E114" s="42" t="s">
        <v>626</v>
      </c>
      <c r="F114" s="50">
        <v>5</v>
      </c>
      <c r="G114" s="50">
        <v>0.46</v>
      </c>
      <c r="V114">
        <f t="shared" si="7"/>
        <v>0</v>
      </c>
      <c r="AA114" s="55"/>
      <c r="AC114" s="55"/>
      <c r="AE114" s="55"/>
    </row>
    <row r="115" spans="1:31" x14ac:dyDescent="0.25">
      <c r="B115" s="49"/>
      <c r="C115" s="1" t="s">
        <v>214</v>
      </c>
      <c r="D115" s="3" t="s">
        <v>215</v>
      </c>
      <c r="E115" s="42" t="s">
        <v>626</v>
      </c>
      <c r="F115" s="50">
        <v>9</v>
      </c>
      <c r="G115" s="50">
        <v>0.46</v>
      </c>
      <c r="V115">
        <f t="shared" si="7"/>
        <v>0</v>
      </c>
      <c r="AA115" s="55"/>
      <c r="AC115" s="55"/>
      <c r="AE115" s="55"/>
    </row>
    <row r="116" spans="1:31" x14ac:dyDescent="0.25">
      <c r="B116" s="49"/>
      <c r="C116" s="1" t="s">
        <v>216</v>
      </c>
      <c r="D116" s="3" t="s">
        <v>217</v>
      </c>
      <c r="E116" s="42" t="s">
        <v>626</v>
      </c>
      <c r="F116" s="50">
        <v>10</v>
      </c>
      <c r="G116" s="50">
        <v>0.21</v>
      </c>
      <c r="V116">
        <f t="shared" si="7"/>
        <v>0</v>
      </c>
      <c r="AA116" s="55"/>
      <c r="AC116" s="55"/>
      <c r="AE116" s="55"/>
    </row>
    <row r="117" spans="1:31" x14ac:dyDescent="0.25">
      <c r="B117" s="49"/>
      <c r="C117" s="1" t="s">
        <v>218</v>
      </c>
      <c r="D117" s="3" t="s">
        <v>219</v>
      </c>
      <c r="E117" s="42" t="s">
        <v>626</v>
      </c>
      <c r="F117" s="50">
        <v>5</v>
      </c>
      <c r="G117" s="50">
        <v>0.33</v>
      </c>
      <c r="V117">
        <f t="shared" si="7"/>
        <v>0</v>
      </c>
      <c r="AA117" s="55"/>
      <c r="AC117" s="55"/>
      <c r="AE117" s="55"/>
    </row>
    <row r="118" spans="1:31" x14ac:dyDescent="0.25">
      <c r="B118" s="49"/>
      <c r="C118" s="1" t="s">
        <v>220</v>
      </c>
      <c r="D118" s="3" t="s">
        <v>221</v>
      </c>
      <c r="E118" s="42" t="s">
        <v>626</v>
      </c>
      <c r="F118" s="50">
        <v>5</v>
      </c>
      <c r="G118" s="50">
        <v>0.28000000000000003</v>
      </c>
      <c r="V118">
        <f t="shared" si="7"/>
        <v>0</v>
      </c>
      <c r="AA118" s="55"/>
      <c r="AC118" s="55"/>
      <c r="AE118" s="55"/>
    </row>
    <row r="119" spans="1:31" x14ac:dyDescent="0.25">
      <c r="B119" s="49"/>
      <c r="C119" s="1" t="s">
        <v>222</v>
      </c>
      <c r="D119" s="3" t="s">
        <v>223</v>
      </c>
      <c r="E119" s="42" t="s">
        <v>626</v>
      </c>
      <c r="F119" s="50">
        <v>5</v>
      </c>
      <c r="G119" s="50">
        <v>0.46</v>
      </c>
      <c r="V119">
        <f t="shared" si="7"/>
        <v>0</v>
      </c>
      <c r="AA119" s="55"/>
      <c r="AC119" s="55"/>
      <c r="AE119" s="55"/>
    </row>
    <row r="120" spans="1:31" x14ac:dyDescent="0.25">
      <c r="B120" s="49"/>
      <c r="C120" s="1" t="s">
        <v>224</v>
      </c>
      <c r="D120" s="3" t="s">
        <v>225</v>
      </c>
      <c r="E120" s="42" t="s">
        <v>626</v>
      </c>
      <c r="F120" s="50">
        <v>5</v>
      </c>
      <c r="G120" s="50">
        <v>0.28000000000000003</v>
      </c>
      <c r="V120">
        <f t="shared" si="7"/>
        <v>0</v>
      </c>
      <c r="AA120" s="55"/>
      <c r="AC120" s="55"/>
      <c r="AE120" s="55"/>
    </row>
    <row r="121" spans="1:31" x14ac:dyDescent="0.25">
      <c r="B121" s="49"/>
      <c r="C121" s="1" t="s">
        <v>226</v>
      </c>
      <c r="D121" s="3" t="s">
        <v>227</v>
      </c>
      <c r="E121" s="42" t="s">
        <v>626</v>
      </c>
      <c r="F121" s="50">
        <v>5</v>
      </c>
      <c r="G121" s="50">
        <v>0.33</v>
      </c>
      <c r="V121">
        <f t="shared" si="7"/>
        <v>0</v>
      </c>
      <c r="AA121" s="55"/>
      <c r="AC121" s="55"/>
      <c r="AE121" s="55"/>
    </row>
    <row r="122" spans="1:31" x14ac:dyDescent="0.25">
      <c r="B122" s="49"/>
      <c r="C122" s="1" t="s">
        <v>228</v>
      </c>
      <c r="D122" s="3" t="s">
        <v>229</v>
      </c>
      <c r="E122" s="42" t="s">
        <v>626</v>
      </c>
      <c r="F122" s="50">
        <v>5</v>
      </c>
      <c r="G122" s="50">
        <v>0.46</v>
      </c>
      <c r="V122">
        <f t="shared" si="7"/>
        <v>0</v>
      </c>
      <c r="AA122" s="55"/>
      <c r="AC122" s="55"/>
      <c r="AE122" s="55"/>
    </row>
    <row r="123" spans="1:31" x14ac:dyDescent="0.25">
      <c r="B123" s="49"/>
      <c r="C123" s="1" t="s">
        <v>230</v>
      </c>
      <c r="D123" s="3" t="s">
        <v>231</v>
      </c>
      <c r="E123" s="42"/>
      <c r="F123" s="50">
        <v>5</v>
      </c>
      <c r="G123" s="50">
        <v>0.46</v>
      </c>
      <c r="V123">
        <f t="shared" si="7"/>
        <v>0</v>
      </c>
      <c r="AA123" s="55"/>
      <c r="AC123" s="55"/>
      <c r="AE123" s="55"/>
    </row>
    <row r="124" spans="1:31" x14ac:dyDescent="0.25">
      <c r="B124" s="4"/>
      <c r="C124" s="4"/>
      <c r="D124" s="4" t="s">
        <v>232</v>
      </c>
      <c r="E124" s="4"/>
      <c r="F124" s="4">
        <f>SUM(F100:F123)</f>
        <v>175</v>
      </c>
      <c r="G124" s="4">
        <v>9.3500000000000032</v>
      </c>
      <c r="V124">
        <f t="shared" si="7"/>
        <v>0</v>
      </c>
      <c r="AA124" s="55"/>
      <c r="AC124" s="55"/>
      <c r="AE124" s="55"/>
    </row>
    <row r="125" spans="1:31" x14ac:dyDescent="0.25">
      <c r="A125" s="48">
        <v>249</v>
      </c>
      <c r="B125" s="49" t="s">
        <v>652</v>
      </c>
      <c r="C125" s="1" t="s">
        <v>233</v>
      </c>
      <c r="D125" s="3" t="s">
        <v>234</v>
      </c>
      <c r="E125" s="42" t="s">
        <v>626</v>
      </c>
      <c r="F125" s="50">
        <v>105</v>
      </c>
      <c r="G125" s="50">
        <v>0.33</v>
      </c>
      <c r="V125">
        <f t="shared" si="7"/>
        <v>0</v>
      </c>
      <c r="AA125" s="55"/>
      <c r="AC125" s="55"/>
      <c r="AE125" s="55"/>
    </row>
    <row r="126" spans="1:31" x14ac:dyDescent="0.25">
      <c r="A126" s="48">
        <v>250</v>
      </c>
      <c r="B126" s="49"/>
      <c r="C126" s="1" t="s">
        <v>235</v>
      </c>
      <c r="D126" s="3" t="s">
        <v>236</v>
      </c>
      <c r="E126" s="42" t="s">
        <v>626</v>
      </c>
      <c r="F126" s="50">
        <v>16</v>
      </c>
      <c r="G126" s="50">
        <v>0.5</v>
      </c>
      <c r="V126">
        <f t="shared" si="7"/>
        <v>0</v>
      </c>
      <c r="AA126" s="55"/>
      <c r="AC126" s="55"/>
      <c r="AE126" s="55"/>
    </row>
    <row r="127" spans="1:31" x14ac:dyDescent="0.25">
      <c r="A127" s="48">
        <v>251</v>
      </c>
      <c r="B127" s="49"/>
      <c r="C127" s="1" t="s">
        <v>237</v>
      </c>
      <c r="D127" s="3" t="s">
        <v>238</v>
      </c>
      <c r="E127" s="42" t="s">
        <v>626</v>
      </c>
      <c r="F127" s="50">
        <v>26</v>
      </c>
      <c r="G127" s="50">
        <v>0.5</v>
      </c>
      <c r="V127">
        <f t="shared" si="7"/>
        <v>0</v>
      </c>
      <c r="AA127" s="55"/>
      <c r="AC127" s="55"/>
      <c r="AE127" s="55"/>
    </row>
    <row r="128" spans="1:31" x14ac:dyDescent="0.25">
      <c r="A128" s="48">
        <v>252</v>
      </c>
      <c r="B128" s="49"/>
      <c r="C128" s="1" t="s">
        <v>239</v>
      </c>
      <c r="D128" s="3" t="s">
        <v>240</v>
      </c>
      <c r="E128" s="42" t="s">
        <v>626</v>
      </c>
      <c r="F128" s="50">
        <v>1000</v>
      </c>
      <c r="G128" s="50">
        <v>0.5</v>
      </c>
      <c r="V128">
        <f t="shared" si="7"/>
        <v>0</v>
      </c>
      <c r="AA128" s="55"/>
      <c r="AC128" s="55"/>
      <c r="AE128" s="55"/>
    </row>
    <row r="129" spans="1:31" x14ac:dyDescent="0.25">
      <c r="A129" s="48">
        <v>253</v>
      </c>
      <c r="B129" s="49"/>
      <c r="C129" s="1" t="s">
        <v>241</v>
      </c>
      <c r="D129" s="3" t="s">
        <v>242</v>
      </c>
      <c r="E129" s="42" t="s">
        <v>626</v>
      </c>
      <c r="F129" s="50">
        <v>250</v>
      </c>
      <c r="G129" s="50">
        <v>0.33</v>
      </c>
      <c r="V129">
        <f t="shared" si="7"/>
        <v>0</v>
      </c>
      <c r="AA129" s="55"/>
      <c r="AC129" s="55"/>
      <c r="AE129" s="55"/>
    </row>
    <row r="130" spans="1:31" x14ac:dyDescent="0.25">
      <c r="A130" s="48">
        <v>255</v>
      </c>
      <c r="B130" s="4"/>
      <c r="C130" s="4"/>
      <c r="D130" s="4" t="s">
        <v>243</v>
      </c>
      <c r="E130" s="4"/>
      <c r="F130" s="4">
        <f>SUM(F125:F129)</f>
        <v>1397</v>
      </c>
      <c r="G130" s="4">
        <v>1.6800000000000002</v>
      </c>
      <c r="V130">
        <f t="shared" si="7"/>
        <v>0</v>
      </c>
      <c r="AA130" s="55"/>
      <c r="AC130" s="55"/>
      <c r="AE130" s="55"/>
    </row>
    <row r="131" spans="1:31" ht="21" x14ac:dyDescent="0.25">
      <c r="A131" s="48">
        <v>302</v>
      </c>
      <c r="B131" s="49"/>
      <c r="C131" s="7" t="s">
        <v>244</v>
      </c>
      <c r="D131" s="3" t="s">
        <v>245</v>
      </c>
      <c r="E131" s="42" t="s">
        <v>626</v>
      </c>
      <c r="F131" s="50">
        <v>5</v>
      </c>
      <c r="G131" s="50">
        <v>0.33</v>
      </c>
      <c r="V131">
        <f t="shared" si="7"/>
        <v>0</v>
      </c>
      <c r="AA131" s="55"/>
      <c r="AC131" s="55"/>
      <c r="AE131" s="55"/>
    </row>
    <row r="132" spans="1:31" ht="21" x14ac:dyDescent="0.25">
      <c r="A132" s="48">
        <v>303</v>
      </c>
      <c r="B132" s="49"/>
      <c r="C132" s="7" t="s">
        <v>246</v>
      </c>
      <c r="D132" s="3" t="s">
        <v>247</v>
      </c>
      <c r="E132" s="42" t="s">
        <v>626</v>
      </c>
      <c r="F132" s="50">
        <v>5</v>
      </c>
      <c r="G132" s="50">
        <v>0.33</v>
      </c>
      <c r="V132">
        <f t="shared" si="7"/>
        <v>0</v>
      </c>
      <c r="AA132" s="55"/>
      <c r="AC132" s="55"/>
      <c r="AE132" s="55"/>
    </row>
    <row r="133" spans="1:31" ht="21" x14ac:dyDescent="0.25">
      <c r="A133" s="48"/>
      <c r="B133" s="49"/>
      <c r="C133" s="7" t="s">
        <v>248</v>
      </c>
      <c r="D133" s="3" t="s">
        <v>249</v>
      </c>
      <c r="E133" s="42" t="s">
        <v>626</v>
      </c>
      <c r="F133" s="50">
        <v>5</v>
      </c>
      <c r="G133" s="50">
        <v>0.4</v>
      </c>
      <c r="V133">
        <f t="shared" si="7"/>
        <v>0</v>
      </c>
      <c r="AA133" s="55"/>
      <c r="AC133" s="55"/>
      <c r="AE133" s="55"/>
    </row>
    <row r="134" spans="1:31" ht="21" x14ac:dyDescent="0.25">
      <c r="A134" s="48"/>
      <c r="B134" s="49"/>
      <c r="C134" s="7" t="s">
        <v>250</v>
      </c>
      <c r="D134" s="3" t="s">
        <v>251</v>
      </c>
      <c r="E134" s="42" t="s">
        <v>626</v>
      </c>
      <c r="F134" s="50">
        <v>5</v>
      </c>
      <c r="G134" s="50">
        <v>0.4</v>
      </c>
      <c r="V134">
        <f t="shared" si="7"/>
        <v>0</v>
      </c>
      <c r="AA134" s="55"/>
      <c r="AC134" s="55"/>
      <c r="AE134" s="55"/>
    </row>
    <row r="135" spans="1:31" ht="21" x14ac:dyDescent="0.35">
      <c r="A135" s="48"/>
      <c r="B135" s="49"/>
      <c r="C135" s="23" t="s">
        <v>252</v>
      </c>
      <c r="D135" s="3" t="s">
        <v>253</v>
      </c>
      <c r="E135" s="42" t="s">
        <v>626</v>
      </c>
      <c r="F135" s="50">
        <v>5</v>
      </c>
      <c r="G135" s="50">
        <v>0.33</v>
      </c>
      <c r="V135">
        <f t="shared" si="7"/>
        <v>0</v>
      </c>
      <c r="AA135" s="55"/>
      <c r="AC135" s="55"/>
      <c r="AE135" s="55"/>
    </row>
    <row r="136" spans="1:31" ht="21" x14ac:dyDescent="0.35">
      <c r="A136" s="48"/>
      <c r="B136" s="49"/>
      <c r="C136" s="23" t="s">
        <v>254</v>
      </c>
      <c r="D136" s="3" t="s">
        <v>255</v>
      </c>
      <c r="E136" s="42" t="s">
        <v>626</v>
      </c>
      <c r="F136" s="50">
        <v>5</v>
      </c>
      <c r="G136" s="50">
        <v>0.33</v>
      </c>
      <c r="V136">
        <f t="shared" si="7"/>
        <v>0</v>
      </c>
      <c r="AA136" s="55"/>
      <c r="AC136" s="55"/>
      <c r="AE136" s="55"/>
    </row>
    <row r="137" spans="1:31" x14ac:dyDescent="0.25">
      <c r="A137" s="48">
        <v>316</v>
      </c>
      <c r="B137" s="4"/>
      <c r="C137" s="4"/>
      <c r="D137" s="4" t="s">
        <v>256</v>
      </c>
      <c r="E137" s="4"/>
      <c r="F137" s="4">
        <f>F131+F132+F133+F134+F135+F136</f>
        <v>30</v>
      </c>
      <c r="G137" s="4">
        <v>1.9800000000000002</v>
      </c>
      <c r="V137">
        <f t="shared" si="7"/>
        <v>0</v>
      </c>
      <c r="AA137" s="55"/>
      <c r="AC137" s="55"/>
      <c r="AE137" s="55"/>
    </row>
    <row r="138" spans="1:31" x14ac:dyDescent="0.25">
      <c r="A138" s="48">
        <v>89</v>
      </c>
      <c r="B138" s="49" t="s">
        <v>653</v>
      </c>
      <c r="C138" s="1" t="s">
        <v>257</v>
      </c>
      <c r="D138" s="3" t="s">
        <v>258</v>
      </c>
      <c r="E138" s="42" t="s">
        <v>626</v>
      </c>
      <c r="F138" s="50">
        <v>4</v>
      </c>
      <c r="G138" s="50">
        <v>0.39</v>
      </c>
      <c r="V138">
        <f t="shared" si="7"/>
        <v>0</v>
      </c>
      <c r="AA138" s="55"/>
      <c r="AC138" s="55"/>
      <c r="AE138" s="55"/>
    </row>
    <row r="139" spans="1:31" x14ac:dyDescent="0.25">
      <c r="A139" s="48">
        <v>90</v>
      </c>
      <c r="B139" s="49"/>
      <c r="C139" s="1" t="s">
        <v>259</v>
      </c>
      <c r="D139" s="3" t="s">
        <v>260</v>
      </c>
      <c r="E139" s="42" t="s">
        <v>626</v>
      </c>
      <c r="F139" s="50">
        <v>5</v>
      </c>
      <c r="G139" s="50">
        <v>0.18</v>
      </c>
      <c r="V139">
        <f t="shared" si="7"/>
        <v>0</v>
      </c>
      <c r="AA139" s="55"/>
      <c r="AC139" s="55"/>
      <c r="AE139" s="55"/>
    </row>
    <row r="140" spans="1:31" x14ac:dyDescent="0.25">
      <c r="A140" s="48">
        <v>91</v>
      </c>
      <c r="B140" s="49"/>
      <c r="C140" s="1" t="s">
        <v>261</v>
      </c>
      <c r="D140" s="3" t="s">
        <v>262</v>
      </c>
      <c r="E140" s="42" t="s">
        <v>626</v>
      </c>
      <c r="F140" s="50">
        <v>5</v>
      </c>
      <c r="G140" s="50">
        <v>0.21</v>
      </c>
      <c r="V140">
        <f t="shared" si="7"/>
        <v>0</v>
      </c>
      <c r="AA140" s="55"/>
      <c r="AC140" s="55"/>
      <c r="AE140" s="55"/>
    </row>
    <row r="141" spans="1:31" x14ac:dyDescent="0.25">
      <c r="A141" s="48">
        <v>92</v>
      </c>
      <c r="B141" s="4"/>
      <c r="C141" s="4"/>
      <c r="D141" s="4" t="s">
        <v>263</v>
      </c>
      <c r="E141" s="4"/>
      <c r="F141" s="4">
        <f>SUM(F138:F140)</f>
        <v>14</v>
      </c>
      <c r="G141" s="4">
        <v>0.78</v>
      </c>
      <c r="V141">
        <f t="shared" si="7"/>
        <v>0</v>
      </c>
      <c r="AA141" s="55"/>
      <c r="AC141" s="55"/>
      <c r="AE141" s="55"/>
    </row>
    <row r="142" spans="1:31" x14ac:dyDescent="0.25">
      <c r="A142" s="48">
        <v>377</v>
      </c>
      <c r="B142" s="49" t="s">
        <v>654</v>
      </c>
      <c r="C142" s="1"/>
      <c r="D142" s="3" t="s">
        <v>264</v>
      </c>
      <c r="E142" s="42" t="s">
        <v>626</v>
      </c>
      <c r="F142" s="50">
        <v>150</v>
      </c>
      <c r="G142" s="50">
        <v>0.27</v>
      </c>
      <c r="V142">
        <f t="shared" si="7"/>
        <v>0</v>
      </c>
      <c r="AA142" s="55"/>
      <c r="AC142" s="55"/>
      <c r="AE142" s="55"/>
    </row>
    <row r="143" spans="1:31" x14ac:dyDescent="0.25">
      <c r="A143" s="48">
        <v>378</v>
      </c>
      <c r="B143" s="49"/>
      <c r="C143" s="1" t="s">
        <v>265</v>
      </c>
      <c r="D143" s="3" t="s">
        <v>266</v>
      </c>
      <c r="E143" s="42" t="s">
        <v>626</v>
      </c>
      <c r="F143" s="50">
        <v>210</v>
      </c>
      <c r="G143" s="50">
        <v>0.31</v>
      </c>
      <c r="V143">
        <f t="shared" si="7"/>
        <v>0</v>
      </c>
      <c r="AA143" s="55"/>
      <c r="AC143" s="55"/>
      <c r="AE143" s="55"/>
    </row>
    <row r="144" spans="1:31" ht="21" x14ac:dyDescent="0.25">
      <c r="A144" s="48">
        <v>379</v>
      </c>
      <c r="B144" s="49"/>
      <c r="C144" s="7" t="s">
        <v>267</v>
      </c>
      <c r="D144" s="3" t="s">
        <v>268</v>
      </c>
      <c r="E144" s="42" t="s">
        <v>626</v>
      </c>
      <c r="F144" s="50">
        <v>100</v>
      </c>
      <c r="G144" s="50">
        <v>0.33</v>
      </c>
      <c r="V144">
        <f t="shared" si="7"/>
        <v>0</v>
      </c>
      <c r="AA144" s="55"/>
      <c r="AC144" s="55"/>
      <c r="AE144" s="55"/>
    </row>
    <row r="145" spans="1:31" x14ac:dyDescent="0.25">
      <c r="A145" s="48">
        <v>380</v>
      </c>
      <c r="B145" s="4"/>
      <c r="C145" s="4"/>
      <c r="D145" s="4" t="s">
        <v>269</v>
      </c>
      <c r="E145" s="4"/>
      <c r="F145" s="4">
        <f>SUM(F142:F144)</f>
        <v>460</v>
      </c>
      <c r="G145" s="4">
        <v>0.91000000000000014</v>
      </c>
      <c r="V145">
        <f t="shared" si="7"/>
        <v>0</v>
      </c>
      <c r="AA145" s="55"/>
      <c r="AC145" s="55"/>
      <c r="AE145" s="55"/>
    </row>
    <row r="146" spans="1:31" x14ac:dyDescent="0.25">
      <c r="A146" s="48">
        <v>123</v>
      </c>
      <c r="B146" s="49" t="s">
        <v>655</v>
      </c>
      <c r="C146" s="1" t="s">
        <v>270</v>
      </c>
      <c r="D146" s="3" t="s">
        <v>271</v>
      </c>
      <c r="E146" s="42" t="s">
        <v>626</v>
      </c>
      <c r="F146" s="50">
        <v>200</v>
      </c>
      <c r="G146" s="50">
        <v>0.17</v>
      </c>
      <c r="V146">
        <f t="shared" si="7"/>
        <v>0</v>
      </c>
      <c r="AA146" s="55"/>
      <c r="AC146" s="55"/>
      <c r="AE146" s="55"/>
    </row>
    <row r="147" spans="1:31" x14ac:dyDescent="0.25">
      <c r="A147" s="48">
        <v>124</v>
      </c>
      <c r="B147" s="49"/>
      <c r="C147" s="1" t="s">
        <v>272</v>
      </c>
      <c r="D147" s="3" t="s">
        <v>273</v>
      </c>
      <c r="E147" s="42" t="s">
        <v>626</v>
      </c>
      <c r="F147" s="50">
        <v>400</v>
      </c>
      <c r="G147" s="50">
        <v>0.21</v>
      </c>
      <c r="V147">
        <f t="shared" ref="V147:V210" si="8">S147*G147</f>
        <v>0</v>
      </c>
      <c r="AA147" s="55"/>
      <c r="AC147" s="55"/>
      <c r="AE147" s="55"/>
    </row>
    <row r="148" spans="1:31" x14ac:dyDescent="0.25">
      <c r="A148" s="48">
        <v>125</v>
      </c>
      <c r="B148" s="49"/>
      <c r="C148" s="1" t="s">
        <v>274</v>
      </c>
      <c r="D148" s="3" t="s">
        <v>275</v>
      </c>
      <c r="E148" s="42" t="s">
        <v>645</v>
      </c>
      <c r="F148" s="50">
        <v>12</v>
      </c>
      <c r="G148" s="50">
        <v>0.26</v>
      </c>
      <c r="V148">
        <f t="shared" si="8"/>
        <v>0</v>
      </c>
      <c r="AA148" s="55"/>
      <c r="AC148" s="55"/>
      <c r="AE148" s="55"/>
    </row>
    <row r="149" spans="1:31" x14ac:dyDescent="0.25">
      <c r="A149" s="48">
        <v>126</v>
      </c>
      <c r="B149" s="4"/>
      <c r="C149" s="4"/>
      <c r="D149" s="4" t="s">
        <v>276</v>
      </c>
      <c r="E149" s="4"/>
      <c r="F149" s="4">
        <f>SUM(F146:F148)</f>
        <v>612</v>
      </c>
      <c r="G149" s="4">
        <v>0.64</v>
      </c>
      <c r="V149">
        <f t="shared" si="8"/>
        <v>0</v>
      </c>
      <c r="AA149" s="55"/>
      <c r="AC149" s="55"/>
      <c r="AE149" s="55"/>
    </row>
    <row r="150" spans="1:31" x14ac:dyDescent="0.25">
      <c r="A150" s="48">
        <v>243</v>
      </c>
      <c r="B150" s="49" t="s">
        <v>656</v>
      </c>
      <c r="C150" s="1" t="s">
        <v>277</v>
      </c>
      <c r="D150" s="3" t="s">
        <v>278</v>
      </c>
      <c r="E150" s="42" t="s">
        <v>626</v>
      </c>
      <c r="F150" s="50">
        <v>300</v>
      </c>
      <c r="G150" s="50">
        <v>0.33</v>
      </c>
      <c r="V150">
        <f t="shared" si="8"/>
        <v>0</v>
      </c>
      <c r="AA150" s="55"/>
      <c r="AC150" s="55"/>
      <c r="AE150" s="55"/>
    </row>
    <row r="151" spans="1:31" x14ac:dyDescent="0.25">
      <c r="A151" s="48">
        <v>244</v>
      </c>
      <c r="B151" s="49"/>
      <c r="C151" s="1"/>
      <c r="D151" s="3" t="s">
        <v>279</v>
      </c>
      <c r="E151" s="42" t="s">
        <v>626</v>
      </c>
      <c r="F151" s="50">
        <v>200</v>
      </c>
      <c r="G151" s="50">
        <v>0.64</v>
      </c>
      <c r="V151">
        <f t="shared" si="8"/>
        <v>0</v>
      </c>
      <c r="AA151" s="55"/>
      <c r="AC151" s="55"/>
      <c r="AE151" s="55"/>
    </row>
    <row r="152" spans="1:31" x14ac:dyDescent="0.25">
      <c r="A152" s="48">
        <v>245</v>
      </c>
      <c r="B152" s="49"/>
      <c r="C152" s="1"/>
      <c r="D152" s="3" t="s">
        <v>280</v>
      </c>
      <c r="E152" s="42" t="s">
        <v>626</v>
      </c>
      <c r="F152" s="50">
        <v>200</v>
      </c>
      <c r="G152" s="50">
        <v>0.32</v>
      </c>
      <c r="V152">
        <f t="shared" si="8"/>
        <v>0</v>
      </c>
      <c r="AA152" s="55"/>
      <c r="AC152" s="55"/>
      <c r="AE152" s="55"/>
    </row>
    <row r="153" spans="1:31" x14ac:dyDescent="0.25">
      <c r="A153" s="48">
        <v>246</v>
      </c>
      <c r="B153" s="49"/>
      <c r="C153" s="1" t="s">
        <v>281</v>
      </c>
      <c r="D153" s="3" t="s">
        <v>282</v>
      </c>
      <c r="E153" s="42" t="s">
        <v>626</v>
      </c>
      <c r="F153" s="50">
        <v>480</v>
      </c>
      <c r="G153" s="50">
        <v>0.33</v>
      </c>
      <c r="V153">
        <f t="shared" si="8"/>
        <v>0</v>
      </c>
      <c r="AA153" s="55"/>
      <c r="AC153" s="55"/>
      <c r="AE153" s="55"/>
    </row>
    <row r="154" spans="1:31" ht="21" x14ac:dyDescent="0.25">
      <c r="A154" s="48">
        <v>247</v>
      </c>
      <c r="B154" s="49"/>
      <c r="C154" s="7" t="s">
        <v>283</v>
      </c>
      <c r="D154" s="3" t="s">
        <v>284</v>
      </c>
      <c r="E154" s="42" t="s">
        <v>645</v>
      </c>
      <c r="F154" s="50">
        <v>500</v>
      </c>
      <c r="G154" s="50">
        <v>0.33</v>
      </c>
      <c r="V154">
        <f t="shared" si="8"/>
        <v>0</v>
      </c>
      <c r="AA154" s="55"/>
      <c r="AC154" s="55"/>
      <c r="AE154" s="55"/>
    </row>
    <row r="155" spans="1:31" x14ac:dyDescent="0.25">
      <c r="A155" s="48">
        <v>248</v>
      </c>
      <c r="B155" s="4"/>
      <c r="C155" s="4"/>
      <c r="D155" s="4" t="s">
        <v>285</v>
      </c>
      <c r="E155" s="4"/>
      <c r="F155" s="4">
        <f>SUM(F150:F154)</f>
        <v>1680</v>
      </c>
      <c r="G155" s="4">
        <v>1.9500000000000002</v>
      </c>
      <c r="V155">
        <f t="shared" si="8"/>
        <v>0</v>
      </c>
      <c r="AA155" s="55"/>
      <c r="AC155" s="55"/>
      <c r="AE155" s="55"/>
    </row>
    <row r="156" spans="1:31" x14ac:dyDescent="0.25">
      <c r="A156" s="48">
        <v>335</v>
      </c>
      <c r="B156" s="49" t="s">
        <v>657</v>
      </c>
      <c r="C156" s="1" t="s">
        <v>286</v>
      </c>
      <c r="D156" s="3" t="s">
        <v>287</v>
      </c>
      <c r="E156" s="42" t="s">
        <v>626</v>
      </c>
      <c r="F156" s="50">
        <v>150</v>
      </c>
      <c r="G156" s="50">
        <v>0.1</v>
      </c>
      <c r="V156">
        <f t="shared" si="8"/>
        <v>0</v>
      </c>
      <c r="AA156" s="55"/>
      <c r="AC156" s="55"/>
      <c r="AE156" s="55"/>
    </row>
    <row r="157" spans="1:31" x14ac:dyDescent="0.25">
      <c r="A157" s="48">
        <v>336</v>
      </c>
      <c r="B157" s="49"/>
      <c r="C157" s="1"/>
      <c r="D157" s="3" t="s">
        <v>288</v>
      </c>
      <c r="E157" s="42" t="s">
        <v>626</v>
      </c>
      <c r="F157" s="50">
        <v>150</v>
      </c>
      <c r="G157" s="50">
        <v>0.41</v>
      </c>
      <c r="V157">
        <f t="shared" si="8"/>
        <v>0</v>
      </c>
      <c r="AA157" s="55"/>
      <c r="AC157" s="55"/>
      <c r="AE157" s="55"/>
    </row>
    <row r="158" spans="1:31" x14ac:dyDescent="0.25">
      <c r="A158" s="48">
        <v>337</v>
      </c>
      <c r="B158" s="49"/>
      <c r="C158" s="1"/>
      <c r="D158" s="3" t="s">
        <v>289</v>
      </c>
      <c r="E158" s="42" t="s">
        <v>626</v>
      </c>
      <c r="F158" s="50">
        <v>90</v>
      </c>
      <c r="G158" s="50">
        <v>0.28000000000000003</v>
      </c>
      <c r="V158">
        <f t="shared" si="8"/>
        <v>0</v>
      </c>
      <c r="AA158" s="55"/>
      <c r="AC158" s="55"/>
      <c r="AE158" s="55"/>
    </row>
    <row r="159" spans="1:31" x14ac:dyDescent="0.25">
      <c r="A159" s="48">
        <v>338</v>
      </c>
      <c r="B159" s="49"/>
      <c r="C159" s="1" t="s">
        <v>290</v>
      </c>
      <c r="D159" s="3" t="s">
        <v>291</v>
      </c>
      <c r="E159" s="42" t="s">
        <v>645</v>
      </c>
      <c r="F159" s="50">
        <v>18</v>
      </c>
      <c r="G159" s="50">
        <v>0.28000000000000003</v>
      </c>
      <c r="V159">
        <f t="shared" si="8"/>
        <v>0</v>
      </c>
      <c r="AA159" s="55"/>
      <c r="AC159" s="55"/>
      <c r="AE159" s="55"/>
    </row>
    <row r="160" spans="1:31" ht="21" x14ac:dyDescent="0.25">
      <c r="A160" s="48">
        <v>339</v>
      </c>
      <c r="B160" s="49"/>
      <c r="C160" s="7" t="s">
        <v>292</v>
      </c>
      <c r="D160" s="3" t="s">
        <v>293</v>
      </c>
      <c r="E160" s="42" t="s">
        <v>645</v>
      </c>
      <c r="F160" s="50">
        <v>50</v>
      </c>
      <c r="G160" s="50">
        <v>0.34</v>
      </c>
      <c r="V160">
        <f t="shared" si="8"/>
        <v>0</v>
      </c>
      <c r="AA160" s="55"/>
      <c r="AC160" s="55"/>
      <c r="AE160" s="55"/>
    </row>
    <row r="161" spans="1:31" x14ac:dyDescent="0.25">
      <c r="A161" s="48">
        <v>340</v>
      </c>
      <c r="B161" s="4"/>
      <c r="C161" s="4"/>
      <c r="D161" s="4" t="s">
        <v>294</v>
      </c>
      <c r="E161" s="4"/>
      <c r="F161" s="4">
        <f>SUM(F156:F160)</f>
        <v>458</v>
      </c>
      <c r="G161" s="4">
        <v>1.4100000000000001</v>
      </c>
      <c r="V161">
        <f t="shared" si="8"/>
        <v>0</v>
      </c>
      <c r="AA161" s="55"/>
      <c r="AC161" s="55"/>
      <c r="AE161" s="55"/>
    </row>
    <row r="162" spans="1:31" x14ac:dyDescent="0.25">
      <c r="A162" s="48">
        <v>552</v>
      </c>
      <c r="B162" s="49" t="s">
        <v>658</v>
      </c>
      <c r="C162" s="1"/>
      <c r="D162" s="3" t="s">
        <v>295</v>
      </c>
      <c r="E162" s="42" t="s">
        <v>626</v>
      </c>
      <c r="F162" s="50">
        <v>300</v>
      </c>
      <c r="G162" s="50">
        <v>0.3</v>
      </c>
      <c r="V162">
        <f t="shared" si="8"/>
        <v>0</v>
      </c>
      <c r="AA162" s="55"/>
      <c r="AC162" s="55"/>
      <c r="AE162" s="55"/>
    </row>
    <row r="163" spans="1:31" x14ac:dyDescent="0.25">
      <c r="A163" s="48">
        <v>553</v>
      </c>
      <c r="B163" s="49" t="s">
        <v>659</v>
      </c>
      <c r="C163" s="1"/>
      <c r="D163" s="3" t="s">
        <v>296</v>
      </c>
      <c r="E163" s="42" t="s">
        <v>626</v>
      </c>
      <c r="F163" s="50">
        <v>200</v>
      </c>
      <c r="G163" s="50">
        <v>0.35</v>
      </c>
      <c r="V163">
        <f t="shared" si="8"/>
        <v>0</v>
      </c>
      <c r="AA163" s="55"/>
      <c r="AC163" s="55"/>
      <c r="AE163" s="55"/>
    </row>
    <row r="164" spans="1:31" x14ac:dyDescent="0.25">
      <c r="A164" s="48">
        <v>235</v>
      </c>
      <c r="B164" s="49" t="s">
        <v>660</v>
      </c>
      <c r="C164" s="1"/>
      <c r="D164" s="3" t="s">
        <v>297</v>
      </c>
      <c r="E164" s="42" t="s">
        <v>626</v>
      </c>
      <c r="F164" s="50">
        <v>200</v>
      </c>
      <c r="G164" s="50">
        <v>0.28000000000000003</v>
      </c>
      <c r="V164">
        <f t="shared" si="8"/>
        <v>0</v>
      </c>
      <c r="AA164" s="55"/>
      <c r="AC164" s="55"/>
      <c r="AE164" s="55"/>
    </row>
    <row r="165" spans="1:31" x14ac:dyDescent="0.25">
      <c r="A165" s="48">
        <v>236</v>
      </c>
      <c r="B165" s="49"/>
      <c r="C165" s="1"/>
      <c r="D165" s="3" t="s">
        <v>298</v>
      </c>
      <c r="E165" s="42" t="s">
        <v>626</v>
      </c>
      <c r="F165" s="50">
        <v>160</v>
      </c>
      <c r="G165" s="50">
        <v>0.35</v>
      </c>
      <c r="V165">
        <f t="shared" si="8"/>
        <v>0</v>
      </c>
      <c r="AA165" s="55"/>
      <c r="AC165" s="55"/>
      <c r="AE165" s="55"/>
    </row>
    <row r="166" spans="1:31" x14ac:dyDescent="0.25">
      <c r="A166" s="48">
        <v>237</v>
      </c>
      <c r="B166" s="49"/>
      <c r="C166" s="1"/>
      <c r="D166" s="3" t="s">
        <v>299</v>
      </c>
      <c r="E166" s="42" t="s">
        <v>626</v>
      </c>
      <c r="F166" s="50">
        <v>160</v>
      </c>
      <c r="G166" s="50">
        <v>0.35</v>
      </c>
      <c r="V166">
        <f t="shared" si="8"/>
        <v>0</v>
      </c>
      <c r="AA166" s="55"/>
      <c r="AC166" s="55"/>
      <c r="AE166" s="55"/>
    </row>
    <row r="167" spans="1:31" x14ac:dyDescent="0.25">
      <c r="A167" s="48">
        <v>239</v>
      </c>
      <c r="B167" s="49" t="s">
        <v>661</v>
      </c>
      <c r="C167" s="1"/>
      <c r="D167" s="3" t="s">
        <v>300</v>
      </c>
      <c r="E167" s="42" t="s">
        <v>626</v>
      </c>
      <c r="F167" s="50">
        <v>200</v>
      </c>
      <c r="G167" s="50">
        <v>0.28000000000000003</v>
      </c>
      <c r="V167">
        <f t="shared" si="8"/>
        <v>0</v>
      </c>
      <c r="AA167" s="55"/>
      <c r="AC167" s="55"/>
      <c r="AE167" s="55"/>
    </row>
    <row r="168" spans="1:31" x14ac:dyDescent="0.25">
      <c r="A168" s="48">
        <v>240</v>
      </c>
      <c r="B168" s="49"/>
      <c r="C168" s="1"/>
      <c r="D168" s="3" t="s">
        <v>301</v>
      </c>
      <c r="E168" s="42" t="s">
        <v>626</v>
      </c>
      <c r="F168" s="50">
        <v>150</v>
      </c>
      <c r="G168" s="50">
        <v>0.41</v>
      </c>
      <c r="V168">
        <f t="shared" si="8"/>
        <v>0</v>
      </c>
      <c r="AA168" s="55"/>
      <c r="AC168" s="55"/>
      <c r="AE168" s="55"/>
    </row>
    <row r="169" spans="1:31" x14ac:dyDescent="0.25">
      <c r="A169" s="48">
        <v>241</v>
      </c>
      <c r="B169" s="49"/>
      <c r="C169" s="1"/>
      <c r="D169" s="3" t="s">
        <v>302</v>
      </c>
      <c r="E169" s="42" t="s">
        <v>626</v>
      </c>
      <c r="F169" s="50">
        <v>150</v>
      </c>
      <c r="G169" s="50">
        <v>0.5</v>
      </c>
      <c r="V169">
        <f t="shared" si="8"/>
        <v>0</v>
      </c>
      <c r="AA169" s="55"/>
      <c r="AC169" s="55"/>
      <c r="AE169" s="55"/>
    </row>
    <row r="170" spans="1:31" x14ac:dyDescent="0.25">
      <c r="A170" s="48">
        <v>259</v>
      </c>
      <c r="B170" s="49" t="s">
        <v>662</v>
      </c>
      <c r="C170" s="1"/>
      <c r="D170" s="3" t="s">
        <v>303</v>
      </c>
      <c r="E170" s="42" t="s">
        <v>626</v>
      </c>
      <c r="F170" s="50">
        <v>168</v>
      </c>
      <c r="G170" s="50">
        <v>0.31</v>
      </c>
      <c r="V170">
        <f t="shared" si="8"/>
        <v>0</v>
      </c>
      <c r="AA170" s="55"/>
      <c r="AC170" s="55"/>
      <c r="AE170" s="55"/>
    </row>
    <row r="171" spans="1:31" x14ac:dyDescent="0.25">
      <c r="A171" s="48">
        <v>261</v>
      </c>
      <c r="B171" s="49"/>
      <c r="C171" s="1"/>
      <c r="D171" s="3" t="s">
        <v>304</v>
      </c>
      <c r="E171" s="42" t="s">
        <v>626</v>
      </c>
      <c r="F171" s="50">
        <v>200</v>
      </c>
      <c r="G171" s="50">
        <v>0.37</v>
      </c>
      <c r="V171">
        <f t="shared" si="8"/>
        <v>0</v>
      </c>
      <c r="AA171" s="55"/>
      <c r="AC171" s="55"/>
      <c r="AE171" s="55"/>
    </row>
    <row r="172" spans="1:31" x14ac:dyDescent="0.25">
      <c r="A172" s="48">
        <v>262</v>
      </c>
      <c r="B172" s="49"/>
      <c r="C172" s="1" t="s">
        <v>305</v>
      </c>
      <c r="D172" s="3" t="s">
        <v>306</v>
      </c>
      <c r="E172" s="42" t="s">
        <v>626</v>
      </c>
      <c r="F172" s="50">
        <v>160</v>
      </c>
      <c r="G172" s="50">
        <v>0.36</v>
      </c>
      <c r="V172">
        <f t="shared" si="8"/>
        <v>0</v>
      </c>
      <c r="AA172" s="55"/>
      <c r="AC172" s="55"/>
      <c r="AE172" s="55"/>
    </row>
    <row r="173" spans="1:31" x14ac:dyDescent="0.25">
      <c r="A173" s="48">
        <v>263</v>
      </c>
      <c r="B173" s="49"/>
      <c r="C173" s="1"/>
      <c r="D173" s="3" t="s">
        <v>307</v>
      </c>
      <c r="E173" s="42" t="s">
        <v>626</v>
      </c>
      <c r="F173" s="50">
        <v>168</v>
      </c>
      <c r="G173" s="50">
        <v>0.31</v>
      </c>
      <c r="V173">
        <f t="shared" si="8"/>
        <v>0</v>
      </c>
      <c r="AA173" s="55"/>
      <c r="AC173" s="55"/>
      <c r="AE173" s="55"/>
    </row>
    <row r="174" spans="1:31" x14ac:dyDescent="0.25">
      <c r="A174" s="48">
        <v>266</v>
      </c>
      <c r="B174" s="49"/>
      <c r="C174" s="1"/>
      <c r="D174" s="3" t="s">
        <v>308</v>
      </c>
      <c r="E174" s="42" t="s">
        <v>626</v>
      </c>
      <c r="F174" s="50">
        <v>200</v>
      </c>
      <c r="G174" s="50">
        <v>0.46</v>
      </c>
      <c r="V174">
        <f t="shared" si="8"/>
        <v>0</v>
      </c>
      <c r="AA174" s="55"/>
      <c r="AC174" s="55"/>
      <c r="AE174" s="55"/>
    </row>
    <row r="175" spans="1:31" x14ac:dyDescent="0.25">
      <c r="A175" s="48">
        <v>267</v>
      </c>
      <c r="B175" s="49"/>
      <c r="C175" s="1"/>
      <c r="D175" s="3" t="s">
        <v>309</v>
      </c>
      <c r="E175" s="42" t="s">
        <v>626</v>
      </c>
      <c r="F175" s="50">
        <v>200</v>
      </c>
      <c r="G175" s="50">
        <v>0.33</v>
      </c>
      <c r="V175">
        <f t="shared" si="8"/>
        <v>0</v>
      </c>
      <c r="AA175" s="55"/>
      <c r="AC175" s="55"/>
      <c r="AE175" s="55"/>
    </row>
    <row r="176" spans="1:31" x14ac:dyDescent="0.25">
      <c r="A176" s="48">
        <v>549</v>
      </c>
      <c r="B176" s="49"/>
      <c r="C176" s="1"/>
      <c r="D176" s="3" t="s">
        <v>310</v>
      </c>
      <c r="E176" s="42" t="s">
        <v>626</v>
      </c>
      <c r="F176" s="50">
        <v>200</v>
      </c>
      <c r="G176" s="50">
        <v>0.35</v>
      </c>
      <c r="V176">
        <f t="shared" si="8"/>
        <v>0</v>
      </c>
      <c r="AA176" s="55"/>
      <c r="AC176" s="55"/>
      <c r="AE176" s="55"/>
    </row>
    <row r="177" spans="1:31" x14ac:dyDescent="0.25">
      <c r="A177" s="48">
        <v>269</v>
      </c>
      <c r="B177" s="4"/>
      <c r="C177" s="4"/>
      <c r="D177" s="4" t="s">
        <v>311</v>
      </c>
      <c r="E177" s="4"/>
      <c r="F177" s="4">
        <f>SUM(F162:F176)</f>
        <v>2816</v>
      </c>
      <c r="G177" s="4">
        <v>5.31</v>
      </c>
      <c r="V177">
        <f t="shared" si="8"/>
        <v>0</v>
      </c>
      <c r="AA177" s="55"/>
      <c r="AC177" s="55"/>
      <c r="AE177" s="55"/>
    </row>
    <row r="178" spans="1:31" x14ac:dyDescent="0.25">
      <c r="A178" s="48">
        <v>360</v>
      </c>
      <c r="B178" s="49"/>
      <c r="C178" s="1"/>
      <c r="D178" s="3" t="s">
        <v>312</v>
      </c>
      <c r="E178" s="42" t="s">
        <v>645</v>
      </c>
      <c r="F178" s="50">
        <v>20</v>
      </c>
      <c r="G178" s="50">
        <v>0.3</v>
      </c>
      <c r="V178">
        <f t="shared" si="8"/>
        <v>0</v>
      </c>
      <c r="AA178" s="55"/>
      <c r="AC178" s="55"/>
      <c r="AE178" s="55"/>
    </row>
    <row r="179" spans="1:31" x14ac:dyDescent="0.25">
      <c r="A179" s="48">
        <v>362</v>
      </c>
      <c r="B179" s="49" t="s">
        <v>663</v>
      </c>
      <c r="C179" s="1"/>
      <c r="D179" s="3" t="s">
        <v>313</v>
      </c>
      <c r="E179" s="42" t="s">
        <v>645</v>
      </c>
      <c r="F179" s="50">
        <v>12</v>
      </c>
      <c r="G179" s="50">
        <v>0.31</v>
      </c>
      <c r="V179">
        <f t="shared" si="8"/>
        <v>0</v>
      </c>
      <c r="AA179" s="55"/>
      <c r="AC179" s="55"/>
      <c r="AE179" s="55"/>
    </row>
    <row r="180" spans="1:31" x14ac:dyDescent="0.25">
      <c r="A180" s="48">
        <v>363</v>
      </c>
      <c r="B180" s="49"/>
      <c r="C180" s="1"/>
      <c r="D180" s="3" t="s">
        <v>314</v>
      </c>
      <c r="E180" s="42" t="s">
        <v>645</v>
      </c>
      <c r="F180" s="50">
        <v>30</v>
      </c>
      <c r="G180" s="50">
        <v>0.34</v>
      </c>
      <c r="V180">
        <f t="shared" si="8"/>
        <v>0</v>
      </c>
      <c r="AA180" s="55"/>
      <c r="AC180" s="55"/>
      <c r="AE180" s="55"/>
    </row>
    <row r="181" spans="1:31" x14ac:dyDescent="0.25">
      <c r="A181" s="48">
        <v>364</v>
      </c>
      <c r="B181" s="49"/>
      <c r="C181" s="1"/>
      <c r="D181" s="3" t="s">
        <v>315</v>
      </c>
      <c r="E181" s="42" t="s">
        <v>645</v>
      </c>
      <c r="F181" s="50">
        <v>27</v>
      </c>
      <c r="G181" s="50">
        <v>0.37</v>
      </c>
      <c r="V181">
        <f t="shared" si="8"/>
        <v>0</v>
      </c>
      <c r="AA181" s="55"/>
      <c r="AC181" s="55"/>
      <c r="AE181" s="55"/>
    </row>
    <row r="182" spans="1:31" x14ac:dyDescent="0.25">
      <c r="A182" s="48">
        <v>365</v>
      </c>
      <c r="B182" s="4"/>
      <c r="C182" s="4"/>
      <c r="D182" s="4" t="s">
        <v>316</v>
      </c>
      <c r="E182" s="4"/>
      <c r="F182" s="4">
        <f>SUM(F178:F181)</f>
        <v>89</v>
      </c>
      <c r="G182" s="4">
        <v>1.3199999999999998</v>
      </c>
      <c r="V182">
        <f t="shared" si="8"/>
        <v>0</v>
      </c>
      <c r="AA182" s="55"/>
      <c r="AC182" s="55"/>
      <c r="AE182" s="55"/>
    </row>
    <row r="183" spans="1:31" ht="21" x14ac:dyDescent="0.25">
      <c r="A183" s="48">
        <v>366</v>
      </c>
      <c r="B183" s="49" t="s">
        <v>664</v>
      </c>
      <c r="C183" s="7" t="s">
        <v>317</v>
      </c>
      <c r="D183" s="3" t="s">
        <v>318</v>
      </c>
      <c r="E183" s="42" t="s">
        <v>645</v>
      </c>
      <c r="F183" s="50">
        <v>20</v>
      </c>
      <c r="G183" s="50">
        <v>0.28000000000000003</v>
      </c>
      <c r="V183">
        <f t="shared" si="8"/>
        <v>0</v>
      </c>
      <c r="AA183" s="55"/>
      <c r="AC183" s="55"/>
      <c r="AE183" s="55"/>
    </row>
    <row r="184" spans="1:31" x14ac:dyDescent="0.25">
      <c r="A184" s="48">
        <v>368</v>
      </c>
      <c r="B184" s="49"/>
      <c r="C184" s="1"/>
      <c r="D184" s="3" t="s">
        <v>319</v>
      </c>
      <c r="E184" s="42" t="s">
        <v>645</v>
      </c>
      <c r="F184" s="50">
        <v>10</v>
      </c>
      <c r="G184" s="50">
        <v>0.21</v>
      </c>
      <c r="V184">
        <f t="shared" si="8"/>
        <v>0</v>
      </c>
      <c r="AA184" s="55"/>
      <c r="AC184" s="55"/>
      <c r="AE184" s="55"/>
    </row>
    <row r="185" spans="1:31" x14ac:dyDescent="0.25">
      <c r="A185" s="48">
        <v>370</v>
      </c>
      <c r="B185" s="49"/>
      <c r="C185" s="1"/>
      <c r="D185" s="3" t="s">
        <v>320</v>
      </c>
      <c r="E185" s="42" t="s">
        <v>645</v>
      </c>
      <c r="F185" s="50">
        <v>10</v>
      </c>
      <c r="G185" s="50">
        <v>0.46</v>
      </c>
      <c r="V185">
        <f t="shared" si="8"/>
        <v>0</v>
      </c>
      <c r="AA185" s="55"/>
      <c r="AC185" s="55"/>
      <c r="AE185" s="55"/>
    </row>
    <row r="186" spans="1:31" x14ac:dyDescent="0.25">
      <c r="A186" s="48">
        <v>371</v>
      </c>
      <c r="B186" s="4" t="s">
        <v>665</v>
      </c>
      <c r="C186" s="4"/>
      <c r="D186" s="4" t="s">
        <v>321</v>
      </c>
      <c r="E186" s="4"/>
      <c r="F186" s="4">
        <f>SUM(F183:F185)</f>
        <v>40</v>
      </c>
      <c r="G186" s="4">
        <v>0.95</v>
      </c>
      <c r="V186">
        <f t="shared" si="8"/>
        <v>0</v>
      </c>
      <c r="AA186" s="55"/>
      <c r="AC186" s="55"/>
      <c r="AE186" s="55"/>
    </row>
    <row r="187" spans="1:31" x14ac:dyDescent="0.25">
      <c r="B187" s="49"/>
      <c r="C187" s="1" t="s">
        <v>322</v>
      </c>
      <c r="D187" s="3" t="s">
        <v>323</v>
      </c>
      <c r="E187" s="42" t="s">
        <v>645</v>
      </c>
      <c r="F187" s="50">
        <v>16</v>
      </c>
      <c r="G187" s="50">
        <v>0.28000000000000003</v>
      </c>
      <c r="V187">
        <f t="shared" si="8"/>
        <v>0</v>
      </c>
      <c r="AA187" s="55"/>
      <c r="AC187" s="55"/>
      <c r="AE187" s="55"/>
    </row>
    <row r="188" spans="1:31" x14ac:dyDescent="0.25">
      <c r="A188" s="48">
        <v>538</v>
      </c>
      <c r="B188" s="49" t="s">
        <v>666</v>
      </c>
      <c r="C188" s="1" t="s">
        <v>324</v>
      </c>
      <c r="D188" s="3" t="s">
        <v>325</v>
      </c>
      <c r="E188" s="42" t="s">
        <v>626</v>
      </c>
      <c r="F188" s="50">
        <v>12</v>
      </c>
      <c r="G188" s="50">
        <v>0.43</v>
      </c>
      <c r="V188">
        <f t="shared" si="8"/>
        <v>0</v>
      </c>
      <c r="AA188" s="55"/>
      <c r="AC188" s="55"/>
      <c r="AE188" s="55"/>
    </row>
    <row r="189" spans="1:31" x14ac:dyDescent="0.25">
      <c r="A189" s="48">
        <v>539</v>
      </c>
      <c r="B189" s="49"/>
      <c r="C189" s="1"/>
      <c r="D189" s="3" t="s">
        <v>326</v>
      </c>
      <c r="E189" s="42" t="s">
        <v>626</v>
      </c>
      <c r="F189" s="50">
        <v>24</v>
      </c>
      <c r="G189" s="50">
        <v>0.45</v>
      </c>
      <c r="V189">
        <f t="shared" si="8"/>
        <v>0</v>
      </c>
      <c r="AA189" s="55"/>
      <c r="AC189" s="55"/>
      <c r="AE189" s="55"/>
    </row>
    <row r="190" spans="1:31" x14ac:dyDescent="0.25">
      <c r="A190" s="48">
        <v>540</v>
      </c>
      <c r="B190" s="49"/>
      <c r="C190" s="1" t="s">
        <v>327</v>
      </c>
      <c r="D190" s="3" t="s">
        <v>328</v>
      </c>
      <c r="E190" s="42" t="s">
        <v>626</v>
      </c>
      <c r="F190" s="50">
        <v>16</v>
      </c>
      <c r="G190" s="50">
        <v>0.3</v>
      </c>
      <c r="V190">
        <f t="shared" si="8"/>
        <v>0</v>
      </c>
      <c r="AA190" s="55"/>
      <c r="AC190" s="55"/>
      <c r="AE190" s="55"/>
    </row>
    <row r="191" spans="1:31" x14ac:dyDescent="0.25">
      <c r="A191" s="48">
        <v>365</v>
      </c>
      <c r="B191" s="4"/>
      <c r="C191" s="4"/>
      <c r="D191" s="4" t="s">
        <v>329</v>
      </c>
      <c r="E191" s="4"/>
      <c r="F191" s="4">
        <f>SUM(F187:F190)</f>
        <v>68</v>
      </c>
      <c r="G191" s="4">
        <v>1.46</v>
      </c>
      <c r="V191">
        <f t="shared" si="8"/>
        <v>0</v>
      </c>
      <c r="AA191" s="55"/>
      <c r="AC191" s="55"/>
      <c r="AE191" s="55"/>
    </row>
    <row r="192" spans="1:31" x14ac:dyDescent="0.25">
      <c r="A192" s="48">
        <v>416</v>
      </c>
      <c r="B192" s="49"/>
      <c r="C192" s="1"/>
      <c r="D192" s="3" t="s">
        <v>330</v>
      </c>
      <c r="E192" s="42" t="s">
        <v>645</v>
      </c>
      <c r="F192" s="50">
        <v>20</v>
      </c>
      <c r="G192" s="50">
        <v>0.31</v>
      </c>
      <c r="V192">
        <f t="shared" si="8"/>
        <v>0</v>
      </c>
      <c r="AA192" s="55"/>
      <c r="AC192" s="55"/>
      <c r="AE192" s="55"/>
    </row>
    <row r="193" spans="1:31" x14ac:dyDescent="0.25">
      <c r="A193" s="48">
        <v>572</v>
      </c>
      <c r="B193" s="49"/>
      <c r="C193" s="1"/>
      <c r="D193" s="3" t="s">
        <v>331</v>
      </c>
      <c r="E193" s="42" t="s">
        <v>645</v>
      </c>
      <c r="F193" s="50">
        <v>30</v>
      </c>
      <c r="G193" s="50">
        <v>0.66</v>
      </c>
      <c r="V193">
        <f t="shared" si="8"/>
        <v>0</v>
      </c>
      <c r="AA193" s="55"/>
      <c r="AC193" s="55"/>
      <c r="AE193" s="55"/>
    </row>
    <row r="194" spans="1:31" x14ac:dyDescent="0.25">
      <c r="A194" s="48">
        <v>417</v>
      </c>
      <c r="B194" s="49" t="s">
        <v>667</v>
      </c>
      <c r="C194" s="1"/>
      <c r="D194" s="3" t="s">
        <v>332</v>
      </c>
      <c r="E194" s="42" t="s">
        <v>645</v>
      </c>
      <c r="F194" s="50">
        <v>16</v>
      </c>
      <c r="G194" s="50">
        <v>0.31</v>
      </c>
      <c r="V194">
        <f t="shared" si="8"/>
        <v>0</v>
      </c>
      <c r="AA194" s="55"/>
      <c r="AC194" s="55"/>
      <c r="AE194" s="55"/>
    </row>
    <row r="195" spans="1:31" x14ac:dyDescent="0.25">
      <c r="A195" s="48">
        <v>418</v>
      </c>
      <c r="B195" s="49"/>
      <c r="C195" s="1"/>
      <c r="D195" s="3" t="s">
        <v>333</v>
      </c>
      <c r="E195" s="42" t="s">
        <v>645</v>
      </c>
      <c r="F195" s="50">
        <v>18</v>
      </c>
      <c r="G195" s="50">
        <v>0.31</v>
      </c>
      <c r="V195">
        <f t="shared" si="8"/>
        <v>0</v>
      </c>
      <c r="AA195" s="55"/>
      <c r="AC195" s="55"/>
      <c r="AE195" s="55"/>
    </row>
    <row r="196" spans="1:31" ht="21" x14ac:dyDescent="0.25">
      <c r="A196" s="48">
        <v>419</v>
      </c>
      <c r="B196" s="49"/>
      <c r="C196" s="7" t="s">
        <v>334</v>
      </c>
      <c r="D196" s="3" t="s">
        <v>335</v>
      </c>
      <c r="E196" s="42" t="s">
        <v>645</v>
      </c>
      <c r="F196" s="50">
        <v>6</v>
      </c>
      <c r="G196" s="50">
        <v>0.35</v>
      </c>
      <c r="V196">
        <f t="shared" si="8"/>
        <v>0</v>
      </c>
      <c r="AA196" s="55"/>
      <c r="AC196" s="55"/>
      <c r="AE196" s="55"/>
    </row>
    <row r="197" spans="1:31" ht="21" x14ac:dyDescent="0.25">
      <c r="A197" s="48">
        <v>420</v>
      </c>
      <c r="B197" s="49"/>
      <c r="C197" s="7" t="s">
        <v>336</v>
      </c>
      <c r="D197" s="3" t="s">
        <v>337</v>
      </c>
      <c r="E197" s="42" t="s">
        <v>645</v>
      </c>
      <c r="F197" s="50">
        <v>4</v>
      </c>
      <c r="G197" s="50">
        <v>0.38</v>
      </c>
      <c r="V197">
        <f t="shared" si="8"/>
        <v>0</v>
      </c>
      <c r="AA197" s="55"/>
      <c r="AC197" s="55"/>
      <c r="AE197" s="55"/>
    </row>
    <row r="198" spans="1:31" x14ac:dyDescent="0.25">
      <c r="A198" s="48">
        <v>421</v>
      </c>
      <c r="B198" s="4"/>
      <c r="C198" s="4"/>
      <c r="D198" s="4" t="s">
        <v>338</v>
      </c>
      <c r="E198" s="4"/>
      <c r="F198" s="4">
        <f>SUM(F192:F197)</f>
        <v>94</v>
      </c>
      <c r="G198" s="4">
        <v>2.3199999999999998</v>
      </c>
      <c r="V198">
        <f t="shared" si="8"/>
        <v>0</v>
      </c>
      <c r="AA198" s="55"/>
      <c r="AC198" s="55"/>
      <c r="AE198" s="55"/>
    </row>
    <row r="199" spans="1:31" x14ac:dyDescent="0.25">
      <c r="A199" s="48">
        <v>422</v>
      </c>
      <c r="B199" s="49" t="s">
        <v>668</v>
      </c>
      <c r="C199" s="1"/>
      <c r="D199" s="3" t="s">
        <v>339</v>
      </c>
      <c r="E199" s="42" t="s">
        <v>626</v>
      </c>
      <c r="F199" s="50">
        <v>150</v>
      </c>
      <c r="G199" s="50">
        <v>0.33</v>
      </c>
      <c r="V199">
        <f t="shared" si="8"/>
        <v>0</v>
      </c>
      <c r="AA199" s="55"/>
      <c r="AC199" s="55"/>
      <c r="AE199" s="55"/>
    </row>
    <row r="200" spans="1:31" x14ac:dyDescent="0.25">
      <c r="A200" s="48">
        <v>423</v>
      </c>
      <c r="B200" s="49"/>
      <c r="C200" s="1"/>
      <c r="D200" s="3" t="s">
        <v>340</v>
      </c>
      <c r="E200" s="42" t="s">
        <v>626</v>
      </c>
      <c r="F200" s="50">
        <v>40</v>
      </c>
      <c r="G200" s="50">
        <v>0.33</v>
      </c>
      <c r="V200">
        <f t="shared" si="8"/>
        <v>0</v>
      </c>
      <c r="AA200" s="55"/>
      <c r="AC200" s="55"/>
      <c r="AE200" s="55"/>
    </row>
    <row r="201" spans="1:31" x14ac:dyDescent="0.25">
      <c r="A201" s="48">
        <v>424</v>
      </c>
      <c r="B201" s="49"/>
      <c r="C201" s="1"/>
      <c r="D201" s="3" t="s">
        <v>341</v>
      </c>
      <c r="E201" s="42" t="s">
        <v>626</v>
      </c>
      <c r="F201" s="50">
        <v>54</v>
      </c>
      <c r="G201" s="50">
        <v>0.34</v>
      </c>
      <c r="V201">
        <f t="shared" si="8"/>
        <v>0</v>
      </c>
      <c r="AA201" s="55"/>
      <c r="AC201" s="55"/>
      <c r="AE201" s="55"/>
    </row>
    <row r="202" spans="1:31" x14ac:dyDescent="0.25">
      <c r="A202" s="48">
        <v>425</v>
      </c>
      <c r="B202" s="4"/>
      <c r="C202" s="4"/>
      <c r="D202" s="4" t="s">
        <v>342</v>
      </c>
      <c r="E202" s="4"/>
      <c r="F202" s="4">
        <f>SUM(F199:F201)</f>
        <v>244</v>
      </c>
      <c r="G202" s="4">
        <v>1</v>
      </c>
      <c r="V202">
        <f t="shared" si="8"/>
        <v>0</v>
      </c>
      <c r="AA202" s="55"/>
      <c r="AC202" s="55"/>
      <c r="AE202" s="55"/>
    </row>
    <row r="203" spans="1:31" x14ac:dyDescent="0.25">
      <c r="A203" s="48">
        <v>450</v>
      </c>
      <c r="B203" s="49"/>
      <c r="C203" s="1" t="s">
        <v>343</v>
      </c>
      <c r="D203" s="3" t="s">
        <v>344</v>
      </c>
      <c r="E203" s="42" t="s">
        <v>626</v>
      </c>
      <c r="F203" s="50">
        <v>16</v>
      </c>
      <c r="G203" s="50">
        <v>0.34</v>
      </c>
      <c r="V203">
        <f t="shared" si="8"/>
        <v>0</v>
      </c>
      <c r="AA203" s="55"/>
      <c r="AC203" s="55"/>
      <c r="AE203" s="55"/>
    </row>
    <row r="204" spans="1:31" x14ac:dyDescent="0.25">
      <c r="A204" s="48">
        <v>451</v>
      </c>
      <c r="B204" s="49"/>
      <c r="C204" s="1" t="s">
        <v>345</v>
      </c>
      <c r="D204" s="3" t="s">
        <v>346</v>
      </c>
      <c r="E204" s="42" t="s">
        <v>626</v>
      </c>
      <c r="F204" s="50">
        <v>24</v>
      </c>
      <c r="G204" s="50">
        <v>0.36</v>
      </c>
      <c r="V204">
        <f t="shared" si="8"/>
        <v>0</v>
      </c>
      <c r="AA204" s="55"/>
      <c r="AC204" s="55"/>
      <c r="AE204" s="55"/>
    </row>
    <row r="205" spans="1:31" x14ac:dyDescent="0.25">
      <c r="A205" s="48">
        <v>446</v>
      </c>
      <c r="B205" s="49" t="s">
        <v>669</v>
      </c>
      <c r="C205" s="1" t="s">
        <v>347</v>
      </c>
      <c r="D205" s="3" t="s">
        <v>348</v>
      </c>
      <c r="E205" s="42" t="s">
        <v>626</v>
      </c>
      <c r="F205" s="50">
        <v>120</v>
      </c>
      <c r="G205" s="50">
        <v>0.36</v>
      </c>
      <c r="V205">
        <f t="shared" si="8"/>
        <v>0</v>
      </c>
      <c r="AA205" s="55"/>
      <c r="AC205" s="55"/>
      <c r="AE205" s="55"/>
    </row>
    <row r="206" spans="1:31" x14ac:dyDescent="0.25">
      <c r="A206" s="48">
        <v>447</v>
      </c>
      <c r="B206" s="49"/>
      <c r="C206" s="1" t="s">
        <v>349</v>
      </c>
      <c r="D206" s="3" t="s">
        <v>350</v>
      </c>
      <c r="E206" s="42" t="s">
        <v>626</v>
      </c>
      <c r="F206" s="50">
        <v>100</v>
      </c>
      <c r="G206" s="50">
        <v>0.02</v>
      </c>
      <c r="V206">
        <f t="shared" si="8"/>
        <v>0</v>
      </c>
      <c r="AA206" s="55"/>
      <c r="AC206" s="55"/>
      <c r="AE206" s="55"/>
    </row>
    <row r="207" spans="1:31" x14ac:dyDescent="0.25">
      <c r="A207" s="48">
        <v>448</v>
      </c>
      <c r="B207" s="49"/>
      <c r="C207" s="1"/>
      <c r="D207" s="3" t="s">
        <v>351</v>
      </c>
      <c r="E207" s="42" t="s">
        <v>626</v>
      </c>
      <c r="F207" s="50">
        <v>16</v>
      </c>
      <c r="G207" s="50">
        <v>0.34</v>
      </c>
      <c r="V207">
        <f t="shared" si="8"/>
        <v>0</v>
      </c>
      <c r="AA207" s="55"/>
      <c r="AC207" s="55"/>
      <c r="AE207" s="55"/>
    </row>
    <row r="208" spans="1:31" x14ac:dyDescent="0.25">
      <c r="A208" s="48">
        <v>449</v>
      </c>
      <c r="B208" s="49"/>
      <c r="C208" s="1"/>
      <c r="D208" s="3" t="s">
        <v>352</v>
      </c>
      <c r="E208" s="42" t="s">
        <v>626</v>
      </c>
      <c r="F208" s="50">
        <v>24</v>
      </c>
      <c r="G208" s="50">
        <v>0.34</v>
      </c>
      <c r="V208">
        <f t="shared" si="8"/>
        <v>0</v>
      </c>
      <c r="AA208" s="55"/>
      <c r="AC208" s="55"/>
      <c r="AE208" s="55"/>
    </row>
    <row r="209" spans="1:31" ht="21" x14ac:dyDescent="0.25">
      <c r="A209" s="48">
        <v>455</v>
      </c>
      <c r="B209" s="49"/>
      <c r="C209" s="7" t="s">
        <v>353</v>
      </c>
      <c r="D209" s="3" t="s">
        <v>354</v>
      </c>
      <c r="E209" s="42" t="s">
        <v>626</v>
      </c>
      <c r="F209" s="50">
        <v>8</v>
      </c>
      <c r="G209" s="50">
        <v>0.34</v>
      </c>
      <c r="V209">
        <f t="shared" si="8"/>
        <v>0</v>
      </c>
      <c r="AA209" s="55"/>
      <c r="AC209" s="55"/>
      <c r="AE209" s="55"/>
    </row>
    <row r="210" spans="1:31" x14ac:dyDescent="0.25">
      <c r="A210" s="48">
        <v>456</v>
      </c>
      <c r="B210" s="49"/>
      <c r="C210" s="1" t="s">
        <v>355</v>
      </c>
      <c r="D210" s="3" t="s">
        <v>356</v>
      </c>
      <c r="E210" s="42" t="s">
        <v>626</v>
      </c>
      <c r="F210" s="50">
        <v>8</v>
      </c>
      <c r="G210" s="50">
        <v>0.34</v>
      </c>
      <c r="V210">
        <f t="shared" si="8"/>
        <v>0</v>
      </c>
      <c r="AA210" s="55"/>
      <c r="AC210" s="55"/>
      <c r="AE210" s="55"/>
    </row>
    <row r="211" spans="1:31" ht="21" x14ac:dyDescent="0.25">
      <c r="A211" s="48">
        <v>457</v>
      </c>
      <c r="B211" s="49"/>
      <c r="C211" s="7" t="s">
        <v>357</v>
      </c>
      <c r="D211" s="3" t="s">
        <v>358</v>
      </c>
      <c r="E211" s="42" t="s">
        <v>645</v>
      </c>
      <c r="F211" s="50">
        <v>7</v>
      </c>
      <c r="G211" s="50">
        <v>0.34</v>
      </c>
      <c r="V211">
        <f t="shared" ref="V211:V274" si="9">S211*G211</f>
        <v>0</v>
      </c>
      <c r="AA211" s="55"/>
      <c r="AC211" s="55"/>
      <c r="AE211" s="55"/>
    </row>
    <row r="212" spans="1:31" x14ac:dyDescent="0.25">
      <c r="A212" s="48">
        <v>458</v>
      </c>
      <c r="B212" s="49"/>
      <c r="C212" s="1" t="s">
        <v>359</v>
      </c>
      <c r="D212" s="3" t="s">
        <v>360</v>
      </c>
      <c r="E212" s="42" t="s">
        <v>645</v>
      </c>
      <c r="F212" s="50">
        <v>200</v>
      </c>
      <c r="G212" s="50">
        <v>0.34</v>
      </c>
      <c r="V212">
        <f t="shared" si="9"/>
        <v>0</v>
      </c>
      <c r="AA212" s="55"/>
      <c r="AC212" s="55"/>
      <c r="AE212" s="55"/>
    </row>
    <row r="213" spans="1:31" ht="21" x14ac:dyDescent="0.25">
      <c r="A213" s="48">
        <v>459</v>
      </c>
      <c r="B213" s="49"/>
      <c r="C213" s="7" t="s">
        <v>361</v>
      </c>
      <c r="D213" s="3" t="s">
        <v>362</v>
      </c>
      <c r="E213" s="42" t="s">
        <v>626</v>
      </c>
      <c r="F213" s="50">
        <v>200</v>
      </c>
      <c r="G213" s="50">
        <v>0.34</v>
      </c>
      <c r="V213">
        <f t="shared" si="9"/>
        <v>0</v>
      </c>
      <c r="AA213" s="55"/>
      <c r="AC213" s="55"/>
      <c r="AE213" s="55"/>
    </row>
    <row r="214" spans="1:31" x14ac:dyDescent="0.25">
      <c r="A214" s="48">
        <v>460</v>
      </c>
      <c r="B214" s="4"/>
      <c r="C214" s="4"/>
      <c r="D214" s="4" t="s">
        <v>363</v>
      </c>
      <c r="E214" s="4"/>
      <c r="F214" s="4">
        <f>SUM(F203:F213)</f>
        <v>723</v>
      </c>
      <c r="G214" s="4">
        <v>3.4599999999999995</v>
      </c>
      <c r="V214">
        <f t="shared" si="9"/>
        <v>0</v>
      </c>
      <c r="AA214" s="55"/>
      <c r="AC214" s="55"/>
      <c r="AE214" s="55"/>
    </row>
    <row r="215" spans="1:31" x14ac:dyDescent="0.25">
      <c r="A215" s="48">
        <v>530</v>
      </c>
      <c r="B215" s="49"/>
      <c r="C215" s="1" t="s">
        <v>364</v>
      </c>
      <c r="D215" s="3" t="s">
        <v>365</v>
      </c>
      <c r="E215" s="42" t="s">
        <v>626</v>
      </c>
      <c r="F215" s="50">
        <v>6</v>
      </c>
      <c r="G215" s="50">
        <v>0.33</v>
      </c>
      <c r="V215">
        <f t="shared" si="9"/>
        <v>0</v>
      </c>
      <c r="AA215" s="55"/>
      <c r="AC215" s="55"/>
      <c r="AE215" s="55"/>
    </row>
    <row r="216" spans="1:31" x14ac:dyDescent="0.25">
      <c r="A216" s="48">
        <v>532</v>
      </c>
      <c r="B216" s="49" t="s">
        <v>670</v>
      </c>
      <c r="C216" s="1" t="s">
        <v>366</v>
      </c>
      <c r="D216" s="3" t="s">
        <v>367</v>
      </c>
      <c r="E216" s="42" t="s">
        <v>626</v>
      </c>
      <c r="F216" s="50">
        <v>15</v>
      </c>
      <c r="G216" s="50">
        <v>0.36</v>
      </c>
      <c r="V216">
        <f t="shared" si="9"/>
        <v>0</v>
      </c>
      <c r="AA216" s="55"/>
      <c r="AC216" s="55"/>
      <c r="AE216" s="55"/>
    </row>
    <row r="217" spans="1:31" x14ac:dyDescent="0.25">
      <c r="A217" s="48">
        <v>560</v>
      </c>
      <c r="B217" s="88" t="s">
        <v>671</v>
      </c>
      <c r="C217" s="1" t="s">
        <v>368</v>
      </c>
      <c r="D217" s="3" t="s">
        <v>369</v>
      </c>
      <c r="E217" s="42" t="s">
        <v>626</v>
      </c>
      <c r="F217" s="50">
        <v>120</v>
      </c>
      <c r="G217" s="50">
        <v>0.37</v>
      </c>
      <c r="V217">
        <f t="shared" si="9"/>
        <v>0</v>
      </c>
      <c r="AA217" s="55"/>
      <c r="AC217" s="55"/>
      <c r="AE217" s="55"/>
    </row>
    <row r="218" spans="1:31" x14ac:dyDescent="0.25">
      <c r="A218" s="48">
        <v>561</v>
      </c>
      <c r="B218" s="88"/>
      <c r="C218" s="1" t="s">
        <v>370</v>
      </c>
      <c r="D218" s="3" t="s">
        <v>371</v>
      </c>
      <c r="E218" s="42" t="s">
        <v>626</v>
      </c>
      <c r="F218" s="50">
        <v>120</v>
      </c>
      <c r="G218" s="50">
        <v>0.37</v>
      </c>
      <c r="V218">
        <f t="shared" si="9"/>
        <v>0</v>
      </c>
      <c r="AA218" s="55"/>
      <c r="AC218" s="55"/>
      <c r="AE218" s="55"/>
    </row>
    <row r="219" spans="1:31" x14ac:dyDescent="0.25">
      <c r="A219" s="48">
        <v>562</v>
      </c>
      <c r="B219" s="88"/>
      <c r="C219" s="1" t="s">
        <v>372</v>
      </c>
      <c r="D219" s="3" t="s">
        <v>373</v>
      </c>
      <c r="E219" s="42" t="s">
        <v>626</v>
      </c>
      <c r="F219" s="50">
        <v>120</v>
      </c>
      <c r="G219" s="50">
        <v>0.37</v>
      </c>
      <c r="V219">
        <f t="shared" si="9"/>
        <v>0</v>
      </c>
      <c r="AA219" s="55"/>
      <c r="AC219" s="55"/>
      <c r="AE219" s="55"/>
    </row>
    <row r="220" spans="1:31" x14ac:dyDescent="0.25">
      <c r="A220" s="48">
        <v>563</v>
      </c>
      <c r="B220" s="88"/>
      <c r="C220" s="1" t="s">
        <v>374</v>
      </c>
      <c r="D220" s="3" t="s">
        <v>375</v>
      </c>
      <c r="E220" s="42" t="s">
        <v>626</v>
      </c>
      <c r="F220" s="50">
        <v>120</v>
      </c>
      <c r="G220" s="50">
        <v>0.37</v>
      </c>
      <c r="V220">
        <f t="shared" si="9"/>
        <v>0</v>
      </c>
      <c r="AA220" s="55"/>
      <c r="AC220" s="55"/>
      <c r="AE220" s="55"/>
    </row>
    <row r="221" spans="1:31" x14ac:dyDescent="0.25">
      <c r="A221" s="48">
        <v>571</v>
      </c>
      <c r="B221" s="49"/>
      <c r="C221" s="1" t="s">
        <v>376</v>
      </c>
      <c r="D221" s="3" t="s">
        <v>377</v>
      </c>
      <c r="E221" s="42" t="s">
        <v>645</v>
      </c>
      <c r="F221" s="50">
        <v>50</v>
      </c>
      <c r="G221" s="50">
        <v>0.66</v>
      </c>
      <c r="V221">
        <f t="shared" si="9"/>
        <v>0</v>
      </c>
      <c r="AA221" s="55"/>
      <c r="AC221" s="55"/>
      <c r="AE221" s="55"/>
    </row>
    <row r="222" spans="1:31" x14ac:dyDescent="0.25">
      <c r="A222" s="48">
        <v>576</v>
      </c>
      <c r="B222" s="49"/>
      <c r="C222" s="1" t="s">
        <v>378</v>
      </c>
      <c r="D222" s="3" t="s">
        <v>379</v>
      </c>
      <c r="E222" s="42" t="s">
        <v>645</v>
      </c>
      <c r="F222" s="50">
        <v>4</v>
      </c>
      <c r="G222" s="50">
        <v>0.3</v>
      </c>
      <c r="V222">
        <f t="shared" si="9"/>
        <v>0</v>
      </c>
      <c r="AA222" s="55"/>
      <c r="AC222" s="55"/>
      <c r="AE222" s="55"/>
    </row>
    <row r="223" spans="1:31" x14ac:dyDescent="0.25">
      <c r="A223" s="48">
        <v>519</v>
      </c>
      <c r="B223" s="49" t="s">
        <v>672</v>
      </c>
      <c r="C223" s="1"/>
      <c r="D223" s="3" t="s">
        <v>380</v>
      </c>
      <c r="E223" s="42" t="s">
        <v>626</v>
      </c>
      <c r="F223" s="50">
        <v>300</v>
      </c>
      <c r="G223" s="50">
        <v>0.32</v>
      </c>
      <c r="V223">
        <f t="shared" si="9"/>
        <v>0</v>
      </c>
      <c r="AA223" s="55"/>
      <c r="AC223" s="55"/>
      <c r="AE223" s="55"/>
    </row>
    <row r="224" spans="1:31" ht="21" x14ac:dyDescent="0.25">
      <c r="A224" s="48">
        <v>525</v>
      </c>
      <c r="B224" s="49" t="s">
        <v>673</v>
      </c>
      <c r="C224" s="7" t="s">
        <v>381</v>
      </c>
      <c r="D224" s="3" t="s">
        <v>382</v>
      </c>
      <c r="E224" s="42" t="s">
        <v>626</v>
      </c>
      <c r="F224" s="50">
        <v>500</v>
      </c>
      <c r="G224" s="50">
        <v>0.11</v>
      </c>
      <c r="V224">
        <f t="shared" si="9"/>
        <v>0</v>
      </c>
      <c r="AA224" s="55"/>
      <c r="AC224" s="55"/>
      <c r="AE224" s="55"/>
    </row>
    <row r="225" spans="1:31" x14ac:dyDescent="0.25">
      <c r="A225" s="48">
        <v>536</v>
      </c>
      <c r="B225" s="49" t="s">
        <v>674</v>
      </c>
      <c r="C225" s="1"/>
      <c r="D225" s="3" t="s">
        <v>383</v>
      </c>
      <c r="E225" s="42" t="s">
        <v>626</v>
      </c>
      <c r="F225" s="50">
        <v>40</v>
      </c>
      <c r="G225" s="50">
        <v>0.03</v>
      </c>
      <c r="V225">
        <f t="shared" si="9"/>
        <v>0</v>
      </c>
      <c r="AA225" s="55"/>
      <c r="AC225" s="55"/>
      <c r="AE225" s="55"/>
    </row>
    <row r="226" spans="1:31" x14ac:dyDescent="0.25">
      <c r="A226" s="48">
        <v>541</v>
      </c>
      <c r="B226" s="49" t="s">
        <v>675</v>
      </c>
      <c r="C226" s="1" t="s">
        <v>384</v>
      </c>
      <c r="D226" s="3" t="s">
        <v>385</v>
      </c>
      <c r="E226" s="42" t="s">
        <v>645</v>
      </c>
      <c r="F226" s="50">
        <v>32</v>
      </c>
      <c r="G226" s="50">
        <v>0.3</v>
      </c>
      <c r="V226">
        <f t="shared" si="9"/>
        <v>0</v>
      </c>
      <c r="AA226" s="55"/>
      <c r="AC226" s="55"/>
      <c r="AE226" s="55"/>
    </row>
    <row r="227" spans="1:31" x14ac:dyDescent="0.25">
      <c r="A227" s="48">
        <v>542</v>
      </c>
      <c r="B227" s="49"/>
      <c r="C227" s="1"/>
      <c r="D227" s="3" t="s">
        <v>386</v>
      </c>
      <c r="E227" s="42" t="s">
        <v>645</v>
      </c>
      <c r="F227" s="50">
        <v>32</v>
      </c>
      <c r="G227" s="50">
        <v>0.3</v>
      </c>
      <c r="V227">
        <f t="shared" si="9"/>
        <v>0</v>
      </c>
      <c r="AA227" s="55"/>
      <c r="AC227" s="55"/>
      <c r="AE227" s="55"/>
    </row>
    <row r="228" spans="1:31" x14ac:dyDescent="0.25">
      <c r="A228" s="48">
        <v>554</v>
      </c>
      <c r="B228" s="49"/>
      <c r="C228" s="1"/>
      <c r="D228" s="3" t="s">
        <v>387</v>
      </c>
      <c r="E228" s="42" t="s">
        <v>626</v>
      </c>
      <c r="F228" s="50">
        <v>10</v>
      </c>
      <c r="G228" s="50">
        <v>0.5</v>
      </c>
      <c r="V228">
        <f t="shared" si="9"/>
        <v>0</v>
      </c>
      <c r="AA228" s="55"/>
      <c r="AC228" s="55"/>
      <c r="AE228" s="55"/>
    </row>
    <row r="229" spans="1:31" x14ac:dyDescent="0.25">
      <c r="A229" s="48">
        <v>555</v>
      </c>
      <c r="B229" s="49"/>
      <c r="C229" s="1"/>
      <c r="D229" s="3" t="s">
        <v>388</v>
      </c>
      <c r="E229" s="42" t="s">
        <v>626</v>
      </c>
      <c r="F229" s="50">
        <v>10</v>
      </c>
      <c r="G229" s="50">
        <v>0.33</v>
      </c>
      <c r="V229">
        <f t="shared" si="9"/>
        <v>0</v>
      </c>
      <c r="AA229" s="55"/>
      <c r="AC229" s="55"/>
      <c r="AE229" s="55"/>
    </row>
    <row r="230" spans="1:31" x14ac:dyDescent="0.25">
      <c r="A230" s="48">
        <v>556</v>
      </c>
      <c r="B230" s="49"/>
      <c r="C230" s="1"/>
      <c r="D230" s="3" t="s">
        <v>389</v>
      </c>
      <c r="E230" s="42" t="s">
        <v>645</v>
      </c>
      <c r="F230" s="50">
        <v>15</v>
      </c>
      <c r="G230" s="50">
        <v>0.3</v>
      </c>
      <c r="V230">
        <f t="shared" si="9"/>
        <v>0</v>
      </c>
      <c r="AA230" s="55"/>
      <c r="AC230" s="55"/>
      <c r="AE230" s="55"/>
    </row>
    <row r="231" spans="1:31" x14ac:dyDescent="0.25">
      <c r="A231" s="48">
        <v>557</v>
      </c>
      <c r="B231" s="49"/>
      <c r="C231" s="1"/>
      <c r="D231" s="3" t="s">
        <v>390</v>
      </c>
      <c r="E231" s="42" t="s">
        <v>626</v>
      </c>
      <c r="F231" s="50">
        <v>36</v>
      </c>
      <c r="G231" s="50">
        <v>0.33</v>
      </c>
      <c r="V231">
        <f t="shared" si="9"/>
        <v>0</v>
      </c>
      <c r="AA231" s="55"/>
      <c r="AC231" s="55"/>
      <c r="AE231" s="55"/>
    </row>
    <row r="232" spans="1:31" x14ac:dyDescent="0.25">
      <c r="A232" s="48">
        <v>558</v>
      </c>
      <c r="B232" s="49" t="s">
        <v>676</v>
      </c>
      <c r="C232" s="1"/>
      <c r="D232" s="3" t="s">
        <v>391</v>
      </c>
      <c r="E232" s="42" t="s">
        <v>645</v>
      </c>
      <c r="F232" s="50">
        <v>24</v>
      </c>
      <c r="G232" s="50">
        <v>0.3</v>
      </c>
      <c r="V232">
        <f t="shared" si="9"/>
        <v>0</v>
      </c>
      <c r="AA232" s="55"/>
      <c r="AC232" s="55"/>
      <c r="AE232" s="55"/>
    </row>
    <row r="233" spans="1:31" x14ac:dyDescent="0.25">
      <c r="A233" s="48">
        <v>559</v>
      </c>
      <c r="B233" s="49"/>
      <c r="C233" s="1"/>
      <c r="D233" s="3" t="s">
        <v>392</v>
      </c>
      <c r="E233" s="42" t="s">
        <v>645</v>
      </c>
      <c r="F233" s="50">
        <v>240</v>
      </c>
      <c r="G233" s="50">
        <v>0.37</v>
      </c>
      <c r="V233">
        <f t="shared" si="9"/>
        <v>0</v>
      </c>
      <c r="AA233" s="55"/>
      <c r="AC233" s="55"/>
      <c r="AE233" s="55"/>
    </row>
    <row r="234" spans="1:31" x14ac:dyDescent="0.25">
      <c r="A234" s="48">
        <v>565</v>
      </c>
      <c r="B234" s="49"/>
      <c r="C234" s="1"/>
      <c r="D234" s="3" t="s">
        <v>393</v>
      </c>
      <c r="E234" s="42" t="s">
        <v>645</v>
      </c>
      <c r="F234" s="50">
        <v>8</v>
      </c>
      <c r="G234" s="50">
        <v>0.4</v>
      </c>
      <c r="V234">
        <f t="shared" si="9"/>
        <v>0</v>
      </c>
      <c r="AA234" s="55"/>
      <c r="AC234" s="55"/>
      <c r="AE234" s="55"/>
    </row>
    <row r="235" spans="1:31" x14ac:dyDescent="0.25">
      <c r="A235" s="48">
        <v>567</v>
      </c>
      <c r="B235" s="49"/>
      <c r="C235" s="1"/>
      <c r="D235" s="3" t="s">
        <v>394</v>
      </c>
      <c r="E235" s="42" t="s">
        <v>645</v>
      </c>
      <c r="F235" s="50">
        <v>200</v>
      </c>
      <c r="G235" s="50">
        <v>0.33</v>
      </c>
      <c r="V235">
        <f t="shared" si="9"/>
        <v>0</v>
      </c>
      <c r="AA235" s="55"/>
      <c r="AC235" s="55"/>
      <c r="AE235" s="55"/>
    </row>
    <row r="236" spans="1:31" x14ac:dyDescent="0.25">
      <c r="A236" s="48"/>
      <c r="B236" s="4"/>
      <c r="C236" s="4"/>
      <c r="D236" s="4" t="s">
        <v>395</v>
      </c>
      <c r="E236" s="4"/>
      <c r="F236" s="4">
        <f>SUM(F215:F235)</f>
        <v>2002</v>
      </c>
      <c r="G236" s="4">
        <v>7.05</v>
      </c>
      <c r="V236">
        <f t="shared" si="9"/>
        <v>0</v>
      </c>
      <c r="AA236" s="55"/>
      <c r="AC236" s="55"/>
      <c r="AE236" s="55"/>
    </row>
    <row r="237" spans="1:31" x14ac:dyDescent="0.25">
      <c r="B237" s="49"/>
      <c r="C237" s="1" t="s">
        <v>396</v>
      </c>
      <c r="D237" s="3" t="s">
        <v>397</v>
      </c>
      <c r="E237" s="42" t="s">
        <v>626</v>
      </c>
      <c r="F237" s="50">
        <v>2</v>
      </c>
      <c r="G237" s="50">
        <v>0.24</v>
      </c>
      <c r="V237">
        <f t="shared" si="9"/>
        <v>0</v>
      </c>
      <c r="AA237" s="55"/>
      <c r="AC237" s="55"/>
      <c r="AE237" s="55"/>
    </row>
    <row r="238" spans="1:31" x14ac:dyDescent="0.25">
      <c r="A238" s="48">
        <v>573</v>
      </c>
      <c r="B238" s="49"/>
      <c r="C238" s="1" t="s">
        <v>398</v>
      </c>
      <c r="D238" s="3" t="s">
        <v>399</v>
      </c>
      <c r="E238" s="42" t="s">
        <v>626</v>
      </c>
      <c r="F238" s="50">
        <v>2</v>
      </c>
      <c r="G238" s="50">
        <v>0.33</v>
      </c>
      <c r="V238">
        <f t="shared" si="9"/>
        <v>0</v>
      </c>
      <c r="AA238" s="55"/>
      <c r="AC238" s="55"/>
      <c r="AE238" s="55"/>
    </row>
    <row r="239" spans="1:31" ht="21" x14ac:dyDescent="0.25">
      <c r="A239" s="48">
        <v>233</v>
      </c>
      <c r="B239" s="49"/>
      <c r="C239" s="7" t="s">
        <v>396</v>
      </c>
      <c r="D239" s="3" t="s">
        <v>400</v>
      </c>
      <c r="E239" s="42" t="s">
        <v>626</v>
      </c>
      <c r="F239" s="50">
        <v>2</v>
      </c>
      <c r="G239" s="50">
        <v>0.24</v>
      </c>
      <c r="V239">
        <f t="shared" si="9"/>
        <v>0</v>
      </c>
      <c r="AA239" s="55"/>
      <c r="AC239" s="55"/>
      <c r="AE239" s="55"/>
    </row>
    <row r="240" spans="1:31" x14ac:dyDescent="0.25">
      <c r="A240" s="48">
        <v>234</v>
      </c>
      <c r="B240" s="4"/>
      <c r="C240" s="4"/>
      <c r="D240" s="4" t="s">
        <v>401</v>
      </c>
      <c r="E240" s="4">
        <f>SUM(E237:E239)</f>
        <v>0</v>
      </c>
      <c r="F240" s="4">
        <f>SUM(F237:F239)</f>
        <v>6</v>
      </c>
      <c r="G240" s="4">
        <v>0.81</v>
      </c>
      <c r="V240">
        <f t="shared" si="9"/>
        <v>0</v>
      </c>
      <c r="AA240" s="55"/>
      <c r="AC240" s="55"/>
      <c r="AE240" s="55"/>
    </row>
    <row r="241" spans="1:31" x14ac:dyDescent="0.25">
      <c r="A241" s="48">
        <v>583</v>
      </c>
      <c r="B241" s="49"/>
      <c r="C241" s="1" t="s">
        <v>402</v>
      </c>
      <c r="D241" s="3" t="s">
        <v>403</v>
      </c>
      <c r="E241" s="42" t="s">
        <v>626</v>
      </c>
      <c r="F241" s="50">
        <v>28</v>
      </c>
      <c r="G241" s="50">
        <v>0.33</v>
      </c>
      <c r="V241">
        <f t="shared" si="9"/>
        <v>0</v>
      </c>
      <c r="AA241" s="55"/>
      <c r="AC241" s="55"/>
      <c r="AE241" s="55"/>
    </row>
    <row r="242" spans="1:31" x14ac:dyDescent="0.25">
      <c r="B242" s="49"/>
      <c r="C242" s="1" t="s">
        <v>404</v>
      </c>
      <c r="D242" s="3" t="s">
        <v>405</v>
      </c>
      <c r="E242" s="42" t="s">
        <v>626</v>
      </c>
      <c r="F242" s="50">
        <v>24</v>
      </c>
      <c r="G242" s="50">
        <v>0.33</v>
      </c>
      <c r="V242">
        <f t="shared" si="9"/>
        <v>0</v>
      </c>
      <c r="AA242" s="55"/>
      <c r="AC242" s="55"/>
      <c r="AE242" s="55"/>
    </row>
    <row r="243" spans="1:31" x14ac:dyDescent="0.25">
      <c r="B243" s="49"/>
      <c r="C243" s="1" t="s">
        <v>406</v>
      </c>
      <c r="D243" s="3" t="s">
        <v>407</v>
      </c>
      <c r="E243" s="42" t="s">
        <v>626</v>
      </c>
      <c r="F243" s="50">
        <v>12</v>
      </c>
      <c r="G243" s="50">
        <v>0.33</v>
      </c>
      <c r="V243">
        <f t="shared" si="9"/>
        <v>0</v>
      </c>
      <c r="AA243" s="55"/>
      <c r="AC243" s="55"/>
      <c r="AE243" s="55"/>
    </row>
    <row r="244" spans="1:31" x14ac:dyDescent="0.25">
      <c r="B244" s="49"/>
      <c r="C244" s="1" t="s">
        <v>408</v>
      </c>
      <c r="D244" s="3" t="s">
        <v>409</v>
      </c>
      <c r="E244" s="42" t="s">
        <v>626</v>
      </c>
      <c r="F244" s="50">
        <v>16</v>
      </c>
      <c r="G244" s="50">
        <v>0.33</v>
      </c>
      <c r="V244">
        <f t="shared" si="9"/>
        <v>0</v>
      </c>
      <c r="AA244" s="55"/>
      <c r="AC244" s="55"/>
      <c r="AE244" s="55"/>
    </row>
    <row r="245" spans="1:31" x14ac:dyDescent="0.25">
      <c r="B245" s="49"/>
      <c r="C245" s="1" t="s">
        <v>410</v>
      </c>
      <c r="D245" s="3" t="s">
        <v>411</v>
      </c>
      <c r="E245" s="42" t="s">
        <v>626</v>
      </c>
      <c r="F245" s="50">
        <v>6</v>
      </c>
      <c r="G245" s="50">
        <v>0.33</v>
      </c>
      <c r="V245">
        <f t="shared" si="9"/>
        <v>0</v>
      </c>
      <c r="AA245" s="55"/>
      <c r="AC245" s="55"/>
      <c r="AE245" s="55"/>
    </row>
    <row r="246" spans="1:31" x14ac:dyDescent="0.25">
      <c r="A246" s="48">
        <v>509</v>
      </c>
      <c r="B246" s="49"/>
      <c r="C246" s="1"/>
      <c r="D246" s="3" t="s">
        <v>412</v>
      </c>
      <c r="E246" s="42" t="s">
        <v>626</v>
      </c>
      <c r="F246" s="50">
        <v>10</v>
      </c>
      <c r="G246" s="50">
        <v>0.23</v>
      </c>
      <c r="V246">
        <f t="shared" si="9"/>
        <v>0</v>
      </c>
      <c r="AA246" s="55"/>
      <c r="AC246" s="55"/>
      <c r="AE246" s="55"/>
    </row>
    <row r="247" spans="1:31" x14ac:dyDescent="0.25">
      <c r="B247" s="4"/>
      <c r="C247" s="4"/>
      <c r="D247" s="4" t="s">
        <v>413</v>
      </c>
      <c r="E247" s="4">
        <f>SUM(E242:E246)</f>
        <v>0</v>
      </c>
      <c r="F247" s="4">
        <f>SUM(F241:F246)</f>
        <v>96</v>
      </c>
      <c r="G247" s="4">
        <v>1.8800000000000001</v>
      </c>
      <c r="V247">
        <f t="shared" si="9"/>
        <v>0</v>
      </c>
      <c r="AA247" s="55"/>
      <c r="AC247" s="55"/>
      <c r="AE247" s="55"/>
    </row>
    <row r="248" spans="1:31" x14ac:dyDescent="0.25">
      <c r="B248" s="49"/>
      <c r="C248" s="1" t="s">
        <v>414</v>
      </c>
      <c r="D248" s="3" t="s">
        <v>415</v>
      </c>
      <c r="E248" s="42" t="s">
        <v>626</v>
      </c>
      <c r="F248" s="50">
        <v>12</v>
      </c>
      <c r="G248" s="50">
        <v>0.33</v>
      </c>
      <c r="V248">
        <f t="shared" si="9"/>
        <v>0</v>
      </c>
      <c r="AA248" s="55"/>
      <c r="AC248" s="55"/>
      <c r="AE248" s="55"/>
    </row>
    <row r="249" spans="1:31" x14ac:dyDescent="0.25">
      <c r="B249" s="49"/>
      <c r="C249" s="1" t="s">
        <v>416</v>
      </c>
      <c r="D249" s="3" t="s">
        <v>417</v>
      </c>
      <c r="E249" s="42" t="s">
        <v>626</v>
      </c>
      <c r="F249" s="50">
        <v>18</v>
      </c>
      <c r="G249" s="50">
        <v>0.33</v>
      </c>
      <c r="V249">
        <f t="shared" si="9"/>
        <v>0</v>
      </c>
      <c r="AA249" s="55"/>
      <c r="AC249" s="55"/>
      <c r="AE249" s="55"/>
    </row>
    <row r="250" spans="1:31" x14ac:dyDescent="0.25">
      <c r="B250" s="49"/>
      <c r="C250" s="1" t="s">
        <v>418</v>
      </c>
      <c r="D250" s="3" t="s">
        <v>419</v>
      </c>
      <c r="E250" s="42" t="s">
        <v>626</v>
      </c>
      <c r="F250" s="50">
        <v>14</v>
      </c>
      <c r="G250" s="50">
        <v>0.33</v>
      </c>
      <c r="V250">
        <f t="shared" si="9"/>
        <v>0</v>
      </c>
      <c r="AA250" s="55"/>
      <c r="AC250" s="55"/>
      <c r="AE250" s="55"/>
    </row>
    <row r="251" spans="1:31" x14ac:dyDescent="0.25">
      <c r="B251" s="49"/>
      <c r="C251" s="1" t="s">
        <v>420</v>
      </c>
      <c r="D251" s="3" t="s">
        <v>421</v>
      </c>
      <c r="E251" s="42" t="s">
        <v>626</v>
      </c>
      <c r="F251" s="50">
        <v>14</v>
      </c>
      <c r="G251" s="50">
        <v>0.33</v>
      </c>
      <c r="V251">
        <f t="shared" si="9"/>
        <v>0</v>
      </c>
      <c r="AA251" s="55"/>
      <c r="AC251" s="55"/>
      <c r="AE251" s="55"/>
    </row>
    <row r="252" spans="1:31" x14ac:dyDescent="0.25">
      <c r="B252" s="49"/>
      <c r="C252" s="1" t="s">
        <v>422</v>
      </c>
      <c r="D252" s="3" t="s">
        <v>423</v>
      </c>
      <c r="E252" s="42" t="s">
        <v>626</v>
      </c>
      <c r="F252" s="50">
        <v>18</v>
      </c>
      <c r="G252" s="50">
        <v>0.34</v>
      </c>
      <c r="V252">
        <f t="shared" si="9"/>
        <v>0</v>
      </c>
      <c r="AA252" s="55"/>
      <c r="AC252" s="55"/>
      <c r="AE252" s="55"/>
    </row>
    <row r="253" spans="1:31" x14ac:dyDescent="0.25">
      <c r="B253" s="49"/>
      <c r="C253" s="1" t="s">
        <v>424</v>
      </c>
      <c r="D253" s="3" t="s">
        <v>425</v>
      </c>
      <c r="E253" s="42" t="s">
        <v>626</v>
      </c>
      <c r="F253" s="50"/>
      <c r="G253" s="50">
        <v>0.34</v>
      </c>
      <c r="V253">
        <f t="shared" si="9"/>
        <v>0</v>
      </c>
      <c r="AA253" s="55"/>
      <c r="AC253" s="55"/>
      <c r="AE253" s="55"/>
    </row>
    <row r="254" spans="1:31" x14ac:dyDescent="0.25">
      <c r="B254" s="4"/>
      <c r="C254" s="4"/>
      <c r="D254" s="4" t="s">
        <v>426</v>
      </c>
      <c r="E254" s="4">
        <f>SUM(E248:E252)</f>
        <v>0</v>
      </c>
      <c r="F254" s="4">
        <f>SUM(F248:F253)</f>
        <v>76</v>
      </c>
      <c r="G254" s="4">
        <v>2</v>
      </c>
      <c r="V254">
        <f t="shared" si="9"/>
        <v>0</v>
      </c>
      <c r="AA254" s="55"/>
      <c r="AC254" s="55"/>
      <c r="AE254" s="55"/>
    </row>
    <row r="255" spans="1:31" x14ac:dyDescent="0.25">
      <c r="B255" s="49"/>
      <c r="C255" s="1" t="s">
        <v>427</v>
      </c>
      <c r="D255" s="3" t="s">
        <v>428</v>
      </c>
      <c r="E255" s="42">
        <f>SUM(E240)</f>
        <v>0</v>
      </c>
      <c r="F255" s="50">
        <v>20</v>
      </c>
      <c r="G255" s="50">
        <v>0.37</v>
      </c>
      <c r="V255">
        <f t="shared" si="9"/>
        <v>0</v>
      </c>
      <c r="AA255" s="55"/>
      <c r="AC255" s="55"/>
      <c r="AE255" s="55"/>
    </row>
    <row r="256" spans="1:31" x14ac:dyDescent="0.25">
      <c r="B256" s="49"/>
      <c r="C256" s="1" t="s">
        <v>429</v>
      </c>
      <c r="D256" s="3" t="s">
        <v>430</v>
      </c>
      <c r="E256" s="42" t="s">
        <v>626</v>
      </c>
      <c r="F256" s="50">
        <v>20</v>
      </c>
      <c r="G256" s="50">
        <v>0.32</v>
      </c>
      <c r="V256">
        <f t="shared" si="9"/>
        <v>0</v>
      </c>
      <c r="AA256" s="55"/>
      <c r="AC256" s="55"/>
      <c r="AE256" s="55"/>
    </row>
    <row r="257" spans="1:31" x14ac:dyDescent="0.25">
      <c r="B257" s="49"/>
      <c r="C257" s="1" t="s">
        <v>431</v>
      </c>
      <c r="D257" s="3" t="s">
        <v>432</v>
      </c>
      <c r="E257" s="42" t="s">
        <v>626</v>
      </c>
      <c r="F257" s="50">
        <v>40</v>
      </c>
      <c r="G257" s="50">
        <v>0.27</v>
      </c>
      <c r="V257">
        <f t="shared" si="9"/>
        <v>0</v>
      </c>
      <c r="AA257" s="55"/>
      <c r="AC257" s="55"/>
      <c r="AE257" s="55"/>
    </row>
    <row r="258" spans="1:31" x14ac:dyDescent="0.25">
      <c r="B258" s="49"/>
      <c r="C258" s="1" t="s">
        <v>433</v>
      </c>
      <c r="D258" s="3" t="s">
        <v>434</v>
      </c>
      <c r="E258" s="42" t="s">
        <v>626</v>
      </c>
      <c r="F258" s="50">
        <v>72</v>
      </c>
      <c r="G258" s="50">
        <v>0.32</v>
      </c>
      <c r="V258">
        <f t="shared" si="9"/>
        <v>0</v>
      </c>
      <c r="AA258" s="55"/>
      <c r="AC258" s="55"/>
      <c r="AE258" s="55"/>
    </row>
    <row r="259" spans="1:31" x14ac:dyDescent="0.25">
      <c r="B259" s="49"/>
      <c r="C259" s="1" t="s">
        <v>435</v>
      </c>
      <c r="D259" s="3" t="s">
        <v>436</v>
      </c>
      <c r="E259" s="42" t="s">
        <v>626</v>
      </c>
      <c r="F259" s="50">
        <v>64</v>
      </c>
      <c r="G259" s="50">
        <v>0.38</v>
      </c>
      <c r="V259">
        <f t="shared" si="9"/>
        <v>0</v>
      </c>
      <c r="AA259" s="55"/>
      <c r="AC259" s="55"/>
      <c r="AE259" s="55"/>
    </row>
    <row r="260" spans="1:31" x14ac:dyDescent="0.25">
      <c r="B260" s="49"/>
      <c r="C260" s="1" t="s">
        <v>437</v>
      </c>
      <c r="D260" s="3" t="s">
        <v>438</v>
      </c>
      <c r="E260" s="42" t="s">
        <v>626</v>
      </c>
      <c r="F260" s="50">
        <v>20</v>
      </c>
      <c r="G260" s="48">
        <v>0.34</v>
      </c>
      <c r="V260">
        <f t="shared" si="9"/>
        <v>0</v>
      </c>
      <c r="AA260" s="55"/>
      <c r="AC260" s="55"/>
      <c r="AE260" s="55"/>
    </row>
    <row r="261" spans="1:31" x14ac:dyDescent="0.25">
      <c r="B261" s="49"/>
      <c r="C261" s="1" t="s">
        <v>439</v>
      </c>
      <c r="D261" s="3" t="s">
        <v>440</v>
      </c>
      <c r="E261" s="42" t="s">
        <v>626</v>
      </c>
      <c r="F261" s="50">
        <v>20</v>
      </c>
      <c r="G261" s="48">
        <v>0.34</v>
      </c>
      <c r="V261">
        <f t="shared" si="9"/>
        <v>0</v>
      </c>
      <c r="AA261" s="55"/>
      <c r="AC261" s="55"/>
      <c r="AE261" s="55"/>
    </row>
    <row r="262" spans="1:31" x14ac:dyDescent="0.25">
      <c r="B262" s="49"/>
      <c r="D262" s="25" t="s">
        <v>441</v>
      </c>
      <c r="E262" s="43"/>
      <c r="F262" s="4">
        <f>SUM(F255:F261)</f>
        <v>256</v>
      </c>
      <c r="G262" s="4">
        <v>2.34</v>
      </c>
      <c r="V262">
        <f t="shared" si="9"/>
        <v>0</v>
      </c>
      <c r="AA262" s="55"/>
      <c r="AC262" s="55"/>
      <c r="AE262" s="55"/>
    </row>
    <row r="263" spans="1:31" ht="21" x14ac:dyDescent="0.25">
      <c r="A263" s="48">
        <v>577</v>
      </c>
      <c r="B263" s="49"/>
      <c r="C263" s="7" t="s">
        <v>442</v>
      </c>
      <c r="D263" s="3" t="s">
        <v>443</v>
      </c>
      <c r="E263" s="42" t="s">
        <v>626</v>
      </c>
      <c r="F263" s="50">
        <v>54</v>
      </c>
      <c r="G263" s="50">
        <v>0.33</v>
      </c>
      <c r="V263">
        <f t="shared" si="9"/>
        <v>0</v>
      </c>
      <c r="AA263" s="55"/>
      <c r="AC263" s="55"/>
      <c r="AE263" s="55"/>
    </row>
    <row r="264" spans="1:31" x14ac:dyDescent="0.25">
      <c r="A264" s="48">
        <v>580</v>
      </c>
      <c r="B264" s="49"/>
      <c r="C264" s="1"/>
      <c r="D264" s="3" t="s">
        <v>444</v>
      </c>
      <c r="E264" s="42" t="s">
        <v>626</v>
      </c>
      <c r="F264" s="50">
        <v>250</v>
      </c>
      <c r="G264" s="50">
        <v>0.33</v>
      </c>
      <c r="V264">
        <f t="shared" si="9"/>
        <v>0</v>
      </c>
      <c r="AA264" s="55"/>
      <c r="AC264" s="55"/>
      <c r="AE264" s="55"/>
    </row>
    <row r="265" spans="1:31" x14ac:dyDescent="0.25">
      <c r="A265" s="48">
        <v>581</v>
      </c>
      <c r="B265" s="49"/>
      <c r="C265" s="1" t="s">
        <v>445</v>
      </c>
      <c r="D265" s="3" t="s">
        <v>446</v>
      </c>
      <c r="E265" s="42" t="s">
        <v>645</v>
      </c>
      <c r="F265" s="50">
        <v>10</v>
      </c>
      <c r="G265" s="50">
        <v>0.33</v>
      </c>
      <c r="V265">
        <f t="shared" si="9"/>
        <v>0</v>
      </c>
      <c r="AA265" s="55"/>
      <c r="AC265" s="55"/>
      <c r="AE265" s="55"/>
    </row>
    <row r="266" spans="1:31" x14ac:dyDescent="0.25">
      <c r="A266" s="48">
        <v>582</v>
      </c>
      <c r="B266" s="49"/>
      <c r="C266" s="1" t="s">
        <v>447</v>
      </c>
      <c r="D266" s="3" t="s">
        <v>448</v>
      </c>
      <c r="E266" s="42" t="s">
        <v>645</v>
      </c>
      <c r="F266" s="50">
        <v>10</v>
      </c>
      <c r="G266" s="50">
        <v>0.33</v>
      </c>
      <c r="V266">
        <f t="shared" si="9"/>
        <v>0</v>
      </c>
      <c r="AA266" s="55"/>
      <c r="AC266" s="55"/>
      <c r="AE266" s="55"/>
    </row>
    <row r="267" spans="1:31" x14ac:dyDescent="0.25">
      <c r="A267" s="48"/>
      <c r="B267" s="49"/>
      <c r="C267" s="1" t="s">
        <v>449</v>
      </c>
      <c r="D267" s="3" t="s">
        <v>450</v>
      </c>
      <c r="E267" s="42" t="s">
        <v>645</v>
      </c>
      <c r="F267" s="50">
        <v>10</v>
      </c>
      <c r="G267" s="50">
        <v>0.33</v>
      </c>
      <c r="V267">
        <f t="shared" si="9"/>
        <v>0</v>
      </c>
      <c r="AA267" s="55"/>
      <c r="AC267" s="55"/>
      <c r="AE267" s="55"/>
    </row>
    <row r="268" spans="1:31" x14ac:dyDescent="0.25">
      <c r="A268" s="48"/>
      <c r="B268" s="49"/>
      <c r="C268" s="1" t="s">
        <v>451</v>
      </c>
      <c r="D268" s="3" t="s">
        <v>452</v>
      </c>
      <c r="E268" s="42" t="s">
        <v>645</v>
      </c>
      <c r="F268" s="50">
        <v>10</v>
      </c>
      <c r="G268" s="50">
        <v>0.33</v>
      </c>
      <c r="V268">
        <f t="shared" si="9"/>
        <v>0</v>
      </c>
      <c r="AA268" s="55"/>
      <c r="AC268" s="55"/>
      <c r="AE268" s="55"/>
    </row>
    <row r="269" spans="1:31" x14ac:dyDescent="0.25">
      <c r="A269" s="48">
        <v>584</v>
      </c>
      <c r="B269" s="49"/>
      <c r="C269" s="1" t="s">
        <v>453</v>
      </c>
      <c r="D269" s="3" t="s">
        <v>454</v>
      </c>
      <c r="E269" s="42" t="s">
        <v>626</v>
      </c>
      <c r="F269" s="50">
        <v>15</v>
      </c>
      <c r="G269" s="50">
        <v>0.33</v>
      </c>
      <c r="V269">
        <f t="shared" si="9"/>
        <v>0</v>
      </c>
      <c r="AA269" s="55"/>
      <c r="AC269" s="55"/>
      <c r="AE269" s="55"/>
    </row>
    <row r="270" spans="1:31" x14ac:dyDescent="0.25">
      <c r="A270" s="48">
        <v>587</v>
      </c>
      <c r="B270" s="49"/>
      <c r="C270" s="1" t="s">
        <v>455</v>
      </c>
      <c r="D270" s="3" t="s">
        <v>456</v>
      </c>
      <c r="E270" s="42" t="s">
        <v>626</v>
      </c>
      <c r="F270" s="50">
        <v>130</v>
      </c>
      <c r="G270" s="50">
        <v>0.33</v>
      </c>
      <c r="V270">
        <f t="shared" si="9"/>
        <v>0</v>
      </c>
      <c r="AA270" s="55"/>
      <c r="AC270" s="55"/>
      <c r="AE270" s="55"/>
    </row>
    <row r="271" spans="1:31" x14ac:dyDescent="0.25">
      <c r="A271" s="48">
        <v>597</v>
      </c>
      <c r="B271" s="49"/>
      <c r="C271" s="1" t="s">
        <v>457</v>
      </c>
      <c r="D271" s="3" t="s">
        <v>458</v>
      </c>
      <c r="E271" s="42" t="s">
        <v>645</v>
      </c>
      <c r="F271" s="50">
        <v>40</v>
      </c>
      <c r="G271" s="50">
        <v>0.66</v>
      </c>
      <c r="V271">
        <f t="shared" si="9"/>
        <v>0</v>
      </c>
      <c r="AA271" s="55"/>
      <c r="AC271" s="55"/>
      <c r="AE271" s="55"/>
    </row>
    <row r="272" spans="1:31" x14ac:dyDescent="0.25">
      <c r="A272" s="48">
        <v>598</v>
      </c>
      <c r="B272" s="49"/>
      <c r="C272" s="1"/>
      <c r="D272" s="3" t="s">
        <v>459</v>
      </c>
      <c r="E272" s="42" t="s">
        <v>645</v>
      </c>
      <c r="F272" s="50">
        <v>12</v>
      </c>
      <c r="G272" s="50">
        <v>0.33</v>
      </c>
      <c r="V272">
        <f t="shared" si="9"/>
        <v>0</v>
      </c>
      <c r="AA272" s="55"/>
      <c r="AC272" s="55"/>
      <c r="AE272" s="55"/>
    </row>
    <row r="273" spans="1:31" x14ac:dyDescent="0.25">
      <c r="A273" s="48"/>
      <c r="B273" s="49"/>
      <c r="C273" s="1" t="s">
        <v>460</v>
      </c>
      <c r="D273" s="3" t="s">
        <v>461</v>
      </c>
      <c r="E273" s="42" t="s">
        <v>645</v>
      </c>
      <c r="F273" s="50">
        <v>20</v>
      </c>
      <c r="G273" s="50">
        <v>0.66</v>
      </c>
      <c r="V273">
        <f t="shared" si="9"/>
        <v>0</v>
      </c>
      <c r="AA273" s="55"/>
      <c r="AC273" s="55"/>
      <c r="AE273" s="55"/>
    </row>
    <row r="274" spans="1:31" x14ac:dyDescent="0.25">
      <c r="B274" s="49"/>
      <c r="C274" s="1" t="s">
        <v>462</v>
      </c>
      <c r="D274" s="3" t="s">
        <v>463</v>
      </c>
      <c r="E274" s="42" t="s">
        <v>645</v>
      </c>
      <c r="F274" s="50">
        <v>10</v>
      </c>
      <c r="G274" s="50">
        <v>0.33</v>
      </c>
      <c r="V274">
        <f t="shared" si="9"/>
        <v>0</v>
      </c>
      <c r="AA274" s="55"/>
      <c r="AC274" s="55"/>
      <c r="AE274" s="55"/>
    </row>
    <row r="275" spans="1:31" x14ac:dyDescent="0.25">
      <c r="B275" s="49"/>
      <c r="C275" s="1"/>
      <c r="D275" s="3" t="s">
        <v>464</v>
      </c>
      <c r="E275" s="42" t="s">
        <v>645</v>
      </c>
      <c r="F275" s="50">
        <v>2</v>
      </c>
      <c r="G275" s="50">
        <v>0.33</v>
      </c>
      <c r="V275">
        <f t="shared" ref="V275:V338" si="10">S275*G275</f>
        <v>0</v>
      </c>
      <c r="AA275" s="55"/>
      <c r="AC275" s="55"/>
      <c r="AE275" s="55"/>
    </row>
    <row r="276" spans="1:31" x14ac:dyDescent="0.25">
      <c r="B276" s="49"/>
      <c r="C276" s="1" t="s">
        <v>465</v>
      </c>
      <c r="D276" s="3" t="s">
        <v>466</v>
      </c>
      <c r="E276" s="42" t="s">
        <v>626</v>
      </c>
      <c r="F276" s="50">
        <v>60</v>
      </c>
      <c r="G276" s="50">
        <v>0.33</v>
      </c>
      <c r="V276">
        <f t="shared" si="10"/>
        <v>0</v>
      </c>
      <c r="AA276" s="55"/>
      <c r="AC276" s="55"/>
      <c r="AE276" s="55"/>
    </row>
    <row r="277" spans="1:31" x14ac:dyDescent="0.25">
      <c r="B277" s="49"/>
      <c r="C277" s="25"/>
      <c r="D277" s="25" t="s">
        <v>467</v>
      </c>
      <c r="E277" s="43"/>
      <c r="F277" s="4">
        <f>SUM(F263:F276)</f>
        <v>633</v>
      </c>
      <c r="G277" s="4">
        <v>5.28</v>
      </c>
      <c r="V277">
        <f t="shared" si="10"/>
        <v>0</v>
      </c>
      <c r="AA277" s="55"/>
      <c r="AC277" s="55"/>
      <c r="AE277" s="55"/>
    </row>
    <row r="278" spans="1:31" x14ac:dyDescent="0.25">
      <c r="B278" s="49"/>
      <c r="C278" s="1" t="s">
        <v>468</v>
      </c>
      <c r="D278" s="3" t="s">
        <v>469</v>
      </c>
      <c r="E278" s="42" t="s">
        <v>645</v>
      </c>
      <c r="F278" s="50">
        <v>30</v>
      </c>
      <c r="G278" s="48">
        <v>0.33</v>
      </c>
      <c r="V278">
        <f t="shared" si="10"/>
        <v>0</v>
      </c>
      <c r="AA278" s="55"/>
      <c r="AC278" s="55"/>
      <c r="AE278" s="55"/>
    </row>
    <row r="279" spans="1:31" x14ac:dyDescent="0.25">
      <c r="B279" s="49"/>
      <c r="C279" s="1"/>
      <c r="D279" s="3" t="s">
        <v>470</v>
      </c>
      <c r="E279" s="42" t="s">
        <v>645</v>
      </c>
      <c r="F279" s="50">
        <v>28</v>
      </c>
      <c r="G279" s="50">
        <v>0.33</v>
      </c>
      <c r="V279">
        <f t="shared" si="10"/>
        <v>0</v>
      </c>
      <c r="AA279" s="55"/>
      <c r="AC279" s="55"/>
      <c r="AE279" s="55"/>
    </row>
    <row r="280" spans="1:31" x14ac:dyDescent="0.25">
      <c r="B280" s="49"/>
      <c r="C280" s="1" t="s">
        <v>471</v>
      </c>
      <c r="D280" s="3" t="s">
        <v>472</v>
      </c>
      <c r="E280" s="42" t="s">
        <v>626</v>
      </c>
      <c r="F280" s="50">
        <v>300</v>
      </c>
      <c r="G280" s="50">
        <v>0.34</v>
      </c>
      <c r="V280">
        <f t="shared" si="10"/>
        <v>0</v>
      </c>
      <c r="AA280" s="55"/>
      <c r="AC280" s="55"/>
      <c r="AE280" s="55"/>
    </row>
    <row r="281" spans="1:31" x14ac:dyDescent="0.25">
      <c r="B281" s="49"/>
      <c r="C281" s="1" t="s">
        <v>473</v>
      </c>
      <c r="D281" s="3" t="s">
        <v>474</v>
      </c>
      <c r="E281" s="42" t="s">
        <v>645</v>
      </c>
      <c r="F281" s="50">
        <v>21</v>
      </c>
      <c r="G281" s="50">
        <v>0.3</v>
      </c>
      <c r="V281">
        <f t="shared" si="10"/>
        <v>0</v>
      </c>
      <c r="AA281" s="55"/>
      <c r="AC281" s="55"/>
      <c r="AE281" s="55"/>
    </row>
    <row r="282" spans="1:31" x14ac:dyDescent="0.25">
      <c r="B282" s="49"/>
      <c r="C282" s="1" t="s">
        <v>475</v>
      </c>
      <c r="D282" s="3" t="s">
        <v>476</v>
      </c>
      <c r="E282" s="42" t="s">
        <v>645</v>
      </c>
      <c r="F282" s="50">
        <v>35</v>
      </c>
      <c r="G282" s="50">
        <v>0.66</v>
      </c>
      <c r="V282">
        <f t="shared" si="10"/>
        <v>0</v>
      </c>
      <c r="AA282" s="55"/>
      <c r="AC282" s="55"/>
      <c r="AE282" s="55"/>
    </row>
    <row r="283" spans="1:31" x14ac:dyDescent="0.25">
      <c r="B283" s="49"/>
      <c r="C283" s="1" t="s">
        <v>477</v>
      </c>
      <c r="D283" s="3" t="s">
        <v>478</v>
      </c>
      <c r="E283" s="42" t="s">
        <v>645</v>
      </c>
      <c r="F283" s="50">
        <v>8</v>
      </c>
      <c r="G283" s="50">
        <v>0.33</v>
      </c>
      <c r="V283">
        <f t="shared" si="10"/>
        <v>0</v>
      </c>
      <c r="AA283" s="55"/>
      <c r="AC283" s="55"/>
      <c r="AE283" s="55"/>
    </row>
    <row r="284" spans="1:31" x14ac:dyDescent="0.25">
      <c r="B284" s="49"/>
      <c r="C284" s="1" t="s">
        <v>479</v>
      </c>
      <c r="D284" s="3" t="s">
        <v>480</v>
      </c>
      <c r="E284" s="42" t="s">
        <v>645</v>
      </c>
      <c r="F284" s="50">
        <v>6</v>
      </c>
      <c r="G284" s="48">
        <v>0.4</v>
      </c>
      <c r="V284">
        <f t="shared" si="10"/>
        <v>0</v>
      </c>
      <c r="AA284" s="55"/>
      <c r="AC284" s="55"/>
      <c r="AE284" s="55"/>
    </row>
    <row r="285" spans="1:31" x14ac:dyDescent="0.25">
      <c r="B285" s="49"/>
      <c r="C285" s="1" t="s">
        <v>481</v>
      </c>
      <c r="D285" s="3" t="s">
        <v>482</v>
      </c>
      <c r="E285" s="42" t="s">
        <v>645</v>
      </c>
      <c r="F285" s="50">
        <v>50</v>
      </c>
      <c r="G285" s="48">
        <v>0.33</v>
      </c>
      <c r="V285">
        <f t="shared" si="10"/>
        <v>0</v>
      </c>
      <c r="AA285" s="55"/>
      <c r="AC285" s="55"/>
      <c r="AE285" s="55"/>
    </row>
    <row r="286" spans="1:31" x14ac:dyDescent="0.25">
      <c r="B286" s="4"/>
      <c r="C286" s="4"/>
      <c r="D286" s="4" t="s">
        <v>467</v>
      </c>
      <c r="E286" s="4"/>
      <c r="F286" s="4">
        <f>SUM(F278:F285)</f>
        <v>478</v>
      </c>
      <c r="G286" s="4">
        <v>3.02</v>
      </c>
      <c r="V286">
        <f t="shared" si="10"/>
        <v>0</v>
      </c>
      <c r="AA286" s="55"/>
      <c r="AC286" s="55"/>
      <c r="AE286" s="55"/>
    </row>
    <row r="287" spans="1:31" x14ac:dyDescent="0.25">
      <c r="A287" s="52"/>
      <c r="B287" s="26"/>
      <c r="C287" s="26"/>
      <c r="D287" s="26" t="s">
        <v>483</v>
      </c>
      <c r="E287" s="26"/>
      <c r="F287" s="26">
        <f>SUM(F286+F277+F262+F254+F247+F240+F236+F214+F202+F198+F191+F186+F182+F161+F155+F149+F145+F141+F137+F130+F124+F99+F80+F76+F68+F59+F45+F37+F177)</f>
        <v>16637</v>
      </c>
      <c r="G287" s="26">
        <v>87.38000000000001</v>
      </c>
      <c r="V287">
        <f t="shared" si="10"/>
        <v>0</v>
      </c>
      <c r="AA287" s="55"/>
      <c r="AC287" s="55"/>
      <c r="AE287" s="55"/>
    </row>
    <row r="288" spans="1:31" x14ac:dyDescent="0.25">
      <c r="A288" s="24">
        <v>1</v>
      </c>
      <c r="B288" s="53">
        <v>1</v>
      </c>
      <c r="C288" s="27" t="s">
        <v>484</v>
      </c>
      <c r="D288" s="27" t="s">
        <v>485</v>
      </c>
      <c r="E288" s="42" t="s">
        <v>626</v>
      </c>
      <c r="F288" s="50">
        <v>3</v>
      </c>
      <c r="G288" s="50">
        <v>0</v>
      </c>
      <c r="H288">
        <v>247.67000000000002</v>
      </c>
      <c r="K288">
        <v>0</v>
      </c>
      <c r="P288">
        <v>130</v>
      </c>
      <c r="Q288">
        <v>117.67000000000002</v>
      </c>
      <c r="R288">
        <v>3</v>
      </c>
      <c r="S288">
        <v>353.01000000000005</v>
      </c>
      <c r="T288">
        <v>0</v>
      </c>
      <c r="U288">
        <v>43.333333333333336</v>
      </c>
      <c r="V288">
        <f t="shared" si="10"/>
        <v>0</v>
      </c>
      <c r="Z288" t="s">
        <v>700</v>
      </c>
      <c r="AA288" s="55">
        <v>22</v>
      </c>
      <c r="AC288" s="55"/>
      <c r="AE288" s="55"/>
    </row>
    <row r="289" spans="1:31" x14ac:dyDescent="0.25">
      <c r="A289" s="24">
        <v>2</v>
      </c>
      <c r="B289" s="53">
        <v>2</v>
      </c>
      <c r="C289" s="27" t="s">
        <v>486</v>
      </c>
      <c r="D289" s="27" t="s">
        <v>487</v>
      </c>
      <c r="E289" s="42" t="s">
        <v>626</v>
      </c>
      <c r="F289" s="50">
        <v>3</v>
      </c>
      <c r="G289" s="50">
        <v>0</v>
      </c>
      <c r="V289">
        <f t="shared" si="10"/>
        <v>0</v>
      </c>
      <c r="AA289" s="55"/>
      <c r="AC289" s="55"/>
      <c r="AE289" s="55"/>
    </row>
    <row r="290" spans="1:31" x14ac:dyDescent="0.25">
      <c r="A290" s="24">
        <v>3</v>
      </c>
      <c r="B290" s="53">
        <v>3</v>
      </c>
      <c r="C290" s="27" t="s">
        <v>488</v>
      </c>
      <c r="D290" s="28" t="s">
        <v>489</v>
      </c>
      <c r="E290" s="42" t="s">
        <v>626</v>
      </c>
      <c r="F290" s="50">
        <v>3</v>
      </c>
      <c r="G290" s="50">
        <v>0</v>
      </c>
      <c r="V290">
        <f t="shared" si="10"/>
        <v>0</v>
      </c>
      <c r="AA290" s="55"/>
      <c r="AC290" s="55"/>
      <c r="AE290" s="55"/>
    </row>
    <row r="291" spans="1:31" x14ac:dyDescent="0.25">
      <c r="A291" s="24">
        <v>4</v>
      </c>
      <c r="B291" s="53">
        <v>4</v>
      </c>
      <c r="C291" s="27" t="s">
        <v>490</v>
      </c>
      <c r="D291" s="27" t="s">
        <v>491</v>
      </c>
      <c r="E291" s="42" t="s">
        <v>626</v>
      </c>
      <c r="F291" s="50">
        <v>3</v>
      </c>
      <c r="G291" s="50">
        <v>0</v>
      </c>
      <c r="V291">
        <f t="shared" si="10"/>
        <v>0</v>
      </c>
      <c r="AA291" s="55"/>
      <c r="AC291" s="55"/>
      <c r="AE291" s="55"/>
    </row>
    <row r="292" spans="1:31" x14ac:dyDescent="0.25">
      <c r="A292" s="24">
        <v>5</v>
      </c>
      <c r="B292" s="53">
        <v>5</v>
      </c>
      <c r="C292" s="27" t="s">
        <v>492</v>
      </c>
      <c r="D292" s="27" t="s">
        <v>493</v>
      </c>
      <c r="E292" s="42" t="s">
        <v>626</v>
      </c>
      <c r="F292" s="50">
        <v>3</v>
      </c>
      <c r="G292" s="50">
        <v>0</v>
      </c>
      <c r="V292">
        <f t="shared" si="10"/>
        <v>0</v>
      </c>
      <c r="AA292" s="55"/>
      <c r="AC292" s="55"/>
      <c r="AE292" s="55"/>
    </row>
    <row r="293" spans="1:31" x14ac:dyDescent="0.25">
      <c r="A293" s="24">
        <v>6</v>
      </c>
      <c r="B293" s="53">
        <v>6</v>
      </c>
      <c r="C293" s="27" t="s">
        <v>494</v>
      </c>
      <c r="D293" s="27" t="s">
        <v>495</v>
      </c>
      <c r="E293" s="42" t="s">
        <v>626</v>
      </c>
      <c r="F293" s="50">
        <v>3</v>
      </c>
      <c r="G293" s="50">
        <v>0</v>
      </c>
      <c r="V293">
        <f t="shared" si="10"/>
        <v>0</v>
      </c>
      <c r="AA293" s="55"/>
      <c r="AC293" s="55"/>
      <c r="AE293" s="55"/>
    </row>
    <row r="294" spans="1:31" x14ac:dyDescent="0.25">
      <c r="A294" s="24">
        <v>7</v>
      </c>
      <c r="B294" s="53">
        <v>7</v>
      </c>
      <c r="C294" s="27" t="s">
        <v>496</v>
      </c>
      <c r="D294" s="27" t="s">
        <v>497</v>
      </c>
      <c r="E294" s="42" t="s">
        <v>626</v>
      </c>
      <c r="F294" s="50">
        <v>3</v>
      </c>
      <c r="G294" s="50">
        <v>0</v>
      </c>
      <c r="V294">
        <f t="shared" si="10"/>
        <v>0</v>
      </c>
      <c r="AA294" s="55"/>
      <c r="AC294" s="55"/>
      <c r="AE294" s="55"/>
    </row>
    <row r="295" spans="1:31" x14ac:dyDescent="0.25">
      <c r="A295" s="24">
        <v>8</v>
      </c>
      <c r="B295" s="53">
        <v>8</v>
      </c>
      <c r="C295" s="27" t="s">
        <v>498</v>
      </c>
      <c r="D295" s="27" t="s">
        <v>499</v>
      </c>
      <c r="E295" s="42" t="s">
        <v>626</v>
      </c>
      <c r="F295" s="50">
        <v>3</v>
      </c>
      <c r="G295" s="50">
        <v>0</v>
      </c>
      <c r="V295">
        <f t="shared" si="10"/>
        <v>0</v>
      </c>
      <c r="AA295" s="55"/>
      <c r="AC295" s="55"/>
      <c r="AE295" s="55"/>
    </row>
    <row r="296" spans="1:31" x14ac:dyDescent="0.25">
      <c r="B296" s="53"/>
      <c r="C296" s="27" t="s">
        <v>500</v>
      </c>
      <c r="D296" s="27" t="s">
        <v>501</v>
      </c>
      <c r="E296" s="42" t="s">
        <v>626</v>
      </c>
      <c r="F296" s="50">
        <v>3</v>
      </c>
      <c r="G296" s="50">
        <v>0</v>
      </c>
      <c r="V296">
        <f t="shared" si="10"/>
        <v>0</v>
      </c>
      <c r="AA296" s="55"/>
      <c r="AC296" s="55"/>
      <c r="AE296" s="55"/>
    </row>
    <row r="297" spans="1:31" x14ac:dyDescent="0.25">
      <c r="A297" s="24">
        <v>9</v>
      </c>
      <c r="B297" s="53">
        <v>9</v>
      </c>
      <c r="C297" s="27" t="s">
        <v>502</v>
      </c>
      <c r="D297" s="27" t="s">
        <v>503</v>
      </c>
      <c r="E297" s="42" t="s">
        <v>626</v>
      </c>
      <c r="F297" s="50">
        <v>3</v>
      </c>
      <c r="G297" s="50">
        <v>0</v>
      </c>
      <c r="V297">
        <f t="shared" si="10"/>
        <v>0</v>
      </c>
      <c r="AA297" s="55"/>
      <c r="AC297" s="55"/>
      <c r="AE297" s="55"/>
    </row>
    <row r="298" spans="1:31" x14ac:dyDescent="0.25">
      <c r="A298" s="24">
        <v>10</v>
      </c>
      <c r="B298" s="53">
        <v>10</v>
      </c>
      <c r="C298" s="27" t="s">
        <v>504</v>
      </c>
      <c r="D298" s="27" t="s">
        <v>505</v>
      </c>
      <c r="E298" s="42" t="s">
        <v>626</v>
      </c>
      <c r="F298" s="50">
        <v>3</v>
      </c>
      <c r="G298" s="50">
        <v>0</v>
      </c>
      <c r="V298">
        <f t="shared" si="10"/>
        <v>0</v>
      </c>
      <c r="AA298" s="55"/>
      <c r="AC298" s="55"/>
      <c r="AE298" s="55"/>
    </row>
    <row r="299" spans="1:31" x14ac:dyDescent="0.25">
      <c r="A299" s="24">
        <v>11</v>
      </c>
      <c r="B299" s="53">
        <v>11</v>
      </c>
      <c r="C299" s="27" t="s">
        <v>506</v>
      </c>
      <c r="D299" s="27" t="s">
        <v>507</v>
      </c>
      <c r="E299" s="42" t="s">
        <v>626</v>
      </c>
      <c r="F299" s="50">
        <v>3</v>
      </c>
      <c r="G299" s="50">
        <v>0</v>
      </c>
      <c r="V299">
        <f t="shared" si="10"/>
        <v>0</v>
      </c>
      <c r="AA299" s="55"/>
      <c r="AC299" s="55"/>
      <c r="AE299" s="55"/>
    </row>
    <row r="300" spans="1:31" x14ac:dyDescent="0.25">
      <c r="A300" s="24">
        <v>12</v>
      </c>
      <c r="B300" s="53">
        <v>12</v>
      </c>
      <c r="C300" s="29" t="s">
        <v>508</v>
      </c>
      <c r="D300" s="29" t="s">
        <v>509</v>
      </c>
      <c r="E300" s="42" t="s">
        <v>626</v>
      </c>
      <c r="F300" s="50">
        <v>3</v>
      </c>
      <c r="G300" s="50">
        <v>0</v>
      </c>
      <c r="V300">
        <f t="shared" si="10"/>
        <v>0</v>
      </c>
      <c r="AA300" s="55"/>
      <c r="AC300" s="55"/>
      <c r="AE300" s="55"/>
    </row>
    <row r="301" spans="1:31" x14ac:dyDescent="0.25">
      <c r="A301" s="24">
        <v>13</v>
      </c>
      <c r="B301" s="53">
        <v>13</v>
      </c>
      <c r="C301" s="30" t="s">
        <v>510</v>
      </c>
      <c r="D301" s="30" t="s">
        <v>511</v>
      </c>
      <c r="E301" s="42" t="s">
        <v>626</v>
      </c>
      <c r="F301" s="50">
        <v>3</v>
      </c>
      <c r="G301" s="50">
        <v>0</v>
      </c>
      <c r="V301">
        <f t="shared" si="10"/>
        <v>0</v>
      </c>
      <c r="AA301" s="55"/>
      <c r="AC301" s="55"/>
      <c r="AE301" s="55"/>
    </row>
    <row r="302" spans="1:31" x14ac:dyDescent="0.25">
      <c r="B302" s="49"/>
      <c r="C302" s="30" t="s">
        <v>512</v>
      </c>
      <c r="D302" s="30" t="s">
        <v>513</v>
      </c>
      <c r="E302" s="42" t="s">
        <v>626</v>
      </c>
      <c r="F302" s="50">
        <v>3</v>
      </c>
      <c r="G302" s="50">
        <v>0</v>
      </c>
      <c r="V302">
        <f t="shared" si="10"/>
        <v>0</v>
      </c>
      <c r="AA302" s="55"/>
      <c r="AC302" s="55"/>
      <c r="AE302" s="55"/>
    </row>
    <row r="303" spans="1:31" x14ac:dyDescent="0.25">
      <c r="B303" s="49"/>
      <c r="C303" s="30" t="s">
        <v>514</v>
      </c>
      <c r="D303" s="30" t="s">
        <v>515</v>
      </c>
      <c r="E303" s="42" t="s">
        <v>626</v>
      </c>
      <c r="F303" s="50">
        <v>3</v>
      </c>
      <c r="G303" s="50">
        <v>0</v>
      </c>
      <c r="V303">
        <f t="shared" si="10"/>
        <v>0</v>
      </c>
      <c r="AA303" s="55"/>
      <c r="AC303" s="55"/>
      <c r="AE303" s="55"/>
    </row>
    <row r="304" spans="1:31" x14ac:dyDescent="0.25">
      <c r="B304" s="49"/>
      <c r="C304" s="30" t="s">
        <v>516</v>
      </c>
      <c r="D304" s="30" t="s">
        <v>517</v>
      </c>
      <c r="E304" s="42" t="s">
        <v>626</v>
      </c>
      <c r="F304" s="50">
        <v>3</v>
      </c>
      <c r="G304" s="50">
        <v>0</v>
      </c>
      <c r="V304">
        <f t="shared" si="10"/>
        <v>0</v>
      </c>
      <c r="AA304" s="55"/>
      <c r="AC304" s="55"/>
      <c r="AE304" s="55"/>
    </row>
    <row r="305" spans="2:31" x14ac:dyDescent="0.25">
      <c r="B305" s="49"/>
      <c r="C305" s="30" t="s">
        <v>518</v>
      </c>
      <c r="D305" s="30" t="s">
        <v>519</v>
      </c>
      <c r="E305" s="42" t="s">
        <v>626</v>
      </c>
      <c r="F305" s="50">
        <v>3</v>
      </c>
      <c r="G305" s="50">
        <v>0</v>
      </c>
      <c r="V305">
        <f t="shared" si="10"/>
        <v>0</v>
      </c>
      <c r="AA305" s="55"/>
      <c r="AC305" s="55"/>
      <c r="AE305" s="55"/>
    </row>
    <row r="306" spans="2:31" x14ac:dyDescent="0.25">
      <c r="B306" s="49"/>
      <c r="C306" s="30" t="s">
        <v>520</v>
      </c>
      <c r="D306" s="30" t="s">
        <v>521</v>
      </c>
      <c r="E306" s="42" t="s">
        <v>626</v>
      </c>
      <c r="F306" s="50">
        <v>3</v>
      </c>
      <c r="G306" s="50">
        <v>0</v>
      </c>
      <c r="V306">
        <f t="shared" si="10"/>
        <v>0</v>
      </c>
      <c r="AA306" s="55"/>
      <c r="AC306" s="55"/>
      <c r="AE306" s="55"/>
    </row>
    <row r="307" spans="2:31" x14ac:dyDescent="0.25">
      <c r="B307" s="49"/>
      <c r="C307" s="30" t="s">
        <v>522</v>
      </c>
      <c r="D307" s="30" t="s">
        <v>523</v>
      </c>
      <c r="E307" s="42" t="s">
        <v>626</v>
      </c>
      <c r="F307" s="50">
        <v>3</v>
      </c>
      <c r="G307" s="50">
        <v>0</v>
      </c>
      <c r="V307">
        <f t="shared" si="10"/>
        <v>0</v>
      </c>
      <c r="AA307" s="55"/>
      <c r="AC307" s="55"/>
      <c r="AE307" s="55"/>
    </row>
    <row r="308" spans="2:31" x14ac:dyDescent="0.25">
      <c r="B308" s="49"/>
      <c r="C308" s="31" t="s">
        <v>524</v>
      </c>
      <c r="D308" s="31" t="s">
        <v>525</v>
      </c>
      <c r="E308" s="42" t="s">
        <v>626</v>
      </c>
      <c r="F308" s="50">
        <v>3</v>
      </c>
      <c r="G308" s="50">
        <v>0</v>
      </c>
      <c r="V308">
        <f t="shared" si="10"/>
        <v>0</v>
      </c>
      <c r="AA308" s="55"/>
      <c r="AC308" s="55"/>
      <c r="AE308" s="55"/>
    </row>
    <row r="309" spans="2:31" x14ac:dyDescent="0.25">
      <c r="B309" s="49"/>
      <c r="C309" s="31" t="s">
        <v>526</v>
      </c>
      <c r="D309" s="31" t="s">
        <v>527</v>
      </c>
      <c r="E309" s="42" t="s">
        <v>626</v>
      </c>
      <c r="F309" s="50">
        <v>3</v>
      </c>
      <c r="G309" s="50">
        <v>0</v>
      </c>
      <c r="V309">
        <f t="shared" si="10"/>
        <v>0</v>
      </c>
      <c r="AA309" s="55"/>
      <c r="AC309" s="55"/>
      <c r="AE309" s="55"/>
    </row>
    <row r="310" spans="2:31" x14ac:dyDescent="0.25">
      <c r="B310" s="49"/>
      <c r="C310" s="31" t="s">
        <v>528</v>
      </c>
      <c r="D310" s="31" t="s">
        <v>529</v>
      </c>
      <c r="E310" s="42" t="s">
        <v>626</v>
      </c>
      <c r="F310" s="50">
        <v>3</v>
      </c>
      <c r="G310" s="50">
        <v>0</v>
      </c>
      <c r="V310">
        <f t="shared" si="10"/>
        <v>0</v>
      </c>
      <c r="AA310" s="55"/>
      <c r="AC310" s="55"/>
      <c r="AE310" s="55"/>
    </row>
    <row r="311" spans="2:31" x14ac:dyDescent="0.25">
      <c r="B311" s="49"/>
      <c r="C311" s="31" t="s">
        <v>530</v>
      </c>
      <c r="D311" s="31" t="s">
        <v>531</v>
      </c>
      <c r="E311" s="42" t="s">
        <v>626</v>
      </c>
      <c r="F311" s="50">
        <v>3</v>
      </c>
      <c r="G311" s="50">
        <v>0</v>
      </c>
      <c r="V311">
        <f t="shared" si="10"/>
        <v>0</v>
      </c>
      <c r="AA311" s="55"/>
      <c r="AC311" s="55"/>
      <c r="AE311" s="55"/>
    </row>
    <row r="312" spans="2:31" x14ac:dyDescent="0.25">
      <c r="B312" s="49"/>
      <c r="C312" s="31" t="s">
        <v>532</v>
      </c>
      <c r="D312" s="31" t="s">
        <v>533</v>
      </c>
      <c r="E312" s="42" t="s">
        <v>626</v>
      </c>
      <c r="F312" s="50">
        <v>3</v>
      </c>
      <c r="G312" s="50">
        <v>0</v>
      </c>
      <c r="V312">
        <f t="shared" si="10"/>
        <v>0</v>
      </c>
      <c r="AA312" s="55"/>
      <c r="AC312" s="55"/>
      <c r="AE312" s="55"/>
    </row>
    <row r="313" spans="2:31" x14ac:dyDescent="0.25">
      <c r="B313" s="49"/>
      <c r="C313" s="31" t="s">
        <v>534</v>
      </c>
      <c r="D313" s="31" t="s">
        <v>535</v>
      </c>
      <c r="E313" s="42" t="s">
        <v>626</v>
      </c>
      <c r="F313" s="50">
        <v>3</v>
      </c>
      <c r="G313" s="50">
        <v>0</v>
      </c>
      <c r="V313">
        <f t="shared" si="10"/>
        <v>0</v>
      </c>
      <c r="AA313" s="55"/>
      <c r="AC313" s="55"/>
      <c r="AE313" s="55"/>
    </row>
    <row r="314" spans="2:31" x14ac:dyDescent="0.25">
      <c r="B314" s="49"/>
      <c r="C314" s="31" t="s">
        <v>536</v>
      </c>
      <c r="D314" s="31" t="s">
        <v>537</v>
      </c>
      <c r="E314" s="42" t="s">
        <v>626</v>
      </c>
      <c r="F314" s="50">
        <v>3</v>
      </c>
      <c r="G314" s="50">
        <v>0</v>
      </c>
      <c r="V314">
        <f t="shared" si="10"/>
        <v>0</v>
      </c>
      <c r="AA314" s="55"/>
      <c r="AC314" s="55"/>
      <c r="AE314" s="55"/>
    </row>
    <row r="315" spans="2:31" x14ac:dyDescent="0.25">
      <c r="B315" s="49"/>
      <c r="C315" s="31" t="s">
        <v>538</v>
      </c>
      <c r="D315" s="31" t="s">
        <v>539</v>
      </c>
      <c r="E315" s="42" t="s">
        <v>626</v>
      </c>
      <c r="F315" s="50">
        <v>3</v>
      </c>
      <c r="G315" s="50">
        <v>0</v>
      </c>
      <c r="V315">
        <f t="shared" si="10"/>
        <v>0</v>
      </c>
      <c r="AA315" s="55"/>
      <c r="AC315" s="55"/>
      <c r="AE315" s="55"/>
    </row>
    <row r="316" spans="2:31" x14ac:dyDescent="0.25">
      <c r="B316" s="49"/>
      <c r="C316" s="31" t="s">
        <v>540</v>
      </c>
      <c r="D316" s="31" t="s">
        <v>541</v>
      </c>
      <c r="E316" s="42" t="s">
        <v>626</v>
      </c>
      <c r="F316" s="50">
        <v>3</v>
      </c>
      <c r="G316" s="50">
        <v>0</v>
      </c>
      <c r="V316">
        <f t="shared" si="10"/>
        <v>0</v>
      </c>
      <c r="AA316" s="55"/>
      <c r="AC316" s="55"/>
      <c r="AE316" s="55"/>
    </row>
    <row r="317" spans="2:31" x14ac:dyDescent="0.25">
      <c r="B317" s="49"/>
      <c r="C317" s="31" t="s">
        <v>542</v>
      </c>
      <c r="D317" s="31" t="s">
        <v>543</v>
      </c>
      <c r="E317" s="42" t="s">
        <v>626</v>
      </c>
      <c r="F317" s="50">
        <v>3</v>
      </c>
      <c r="G317" s="50">
        <v>0</v>
      </c>
      <c r="V317">
        <f t="shared" si="10"/>
        <v>0</v>
      </c>
      <c r="AA317" s="55"/>
      <c r="AC317" s="55"/>
      <c r="AE317" s="55"/>
    </row>
    <row r="318" spans="2:31" ht="20.25" x14ac:dyDescent="0.25">
      <c r="B318" s="49"/>
      <c r="C318" s="32" t="s">
        <v>544</v>
      </c>
      <c r="D318" s="33" t="s">
        <v>545</v>
      </c>
      <c r="E318" s="42" t="s">
        <v>626</v>
      </c>
      <c r="F318" s="50">
        <v>3</v>
      </c>
      <c r="G318" s="50">
        <v>0</v>
      </c>
      <c r="V318">
        <f t="shared" si="10"/>
        <v>0</v>
      </c>
      <c r="AA318" s="55"/>
      <c r="AC318" s="55"/>
      <c r="AE318" s="55"/>
    </row>
    <row r="319" spans="2:31" ht="20.25" x14ac:dyDescent="0.25">
      <c r="B319" s="49"/>
      <c r="C319" s="32" t="s">
        <v>546</v>
      </c>
      <c r="D319" s="33" t="s">
        <v>547</v>
      </c>
      <c r="E319" s="42" t="s">
        <v>626</v>
      </c>
      <c r="F319" s="50">
        <v>3</v>
      </c>
      <c r="G319" s="50">
        <v>0</v>
      </c>
      <c r="V319">
        <f t="shared" si="10"/>
        <v>0</v>
      </c>
      <c r="AA319" s="55"/>
      <c r="AC319" s="55"/>
      <c r="AE319" s="55"/>
    </row>
    <row r="320" spans="2:31" ht="20.25" x14ac:dyDescent="0.25">
      <c r="B320" s="49"/>
      <c r="C320" s="32" t="s">
        <v>548</v>
      </c>
      <c r="D320" s="33" t="s">
        <v>549</v>
      </c>
      <c r="E320" s="42" t="s">
        <v>626</v>
      </c>
      <c r="F320" s="50">
        <v>3</v>
      </c>
      <c r="G320" s="50">
        <v>0</v>
      </c>
      <c r="V320">
        <f t="shared" si="10"/>
        <v>0</v>
      </c>
      <c r="AA320" s="55"/>
      <c r="AC320" s="55"/>
      <c r="AE320" s="55"/>
    </row>
    <row r="321" spans="2:31" ht="20.25" x14ac:dyDescent="0.25">
      <c r="B321" s="49"/>
      <c r="C321" s="32" t="s">
        <v>550</v>
      </c>
      <c r="D321" s="33" t="s">
        <v>551</v>
      </c>
      <c r="E321" s="42" t="s">
        <v>626</v>
      </c>
      <c r="F321" s="50">
        <v>3</v>
      </c>
      <c r="G321" s="50">
        <v>0</v>
      </c>
      <c r="V321">
        <f t="shared" si="10"/>
        <v>0</v>
      </c>
      <c r="AA321" s="55"/>
      <c r="AC321" s="55"/>
      <c r="AE321" s="55"/>
    </row>
    <row r="322" spans="2:31" x14ac:dyDescent="0.25">
      <c r="B322" s="49"/>
      <c r="C322" s="34" t="s">
        <v>552</v>
      </c>
      <c r="D322" s="34" t="s">
        <v>553</v>
      </c>
      <c r="E322" s="42" t="s">
        <v>626</v>
      </c>
      <c r="F322" s="50">
        <v>3</v>
      </c>
      <c r="G322" s="50">
        <v>0</v>
      </c>
      <c r="V322">
        <f t="shared" si="10"/>
        <v>0</v>
      </c>
      <c r="AA322" s="55"/>
      <c r="AC322" s="55"/>
      <c r="AE322" s="55"/>
    </row>
    <row r="323" spans="2:31" x14ac:dyDescent="0.25">
      <c r="B323" s="49"/>
      <c r="C323" s="34" t="s">
        <v>554</v>
      </c>
      <c r="D323" s="34" t="s">
        <v>555</v>
      </c>
      <c r="E323" s="42" t="s">
        <v>626</v>
      </c>
      <c r="F323" s="50">
        <v>3</v>
      </c>
      <c r="G323" s="50">
        <v>0</v>
      </c>
      <c r="V323">
        <f t="shared" si="10"/>
        <v>0</v>
      </c>
      <c r="AA323" s="55"/>
      <c r="AC323" s="55"/>
      <c r="AE323" s="55"/>
    </row>
    <row r="324" spans="2:31" x14ac:dyDescent="0.25">
      <c r="B324" s="49"/>
      <c r="C324" s="35"/>
      <c r="D324" s="35" t="s">
        <v>556</v>
      </c>
      <c r="E324" s="42" t="s">
        <v>626</v>
      </c>
      <c r="F324" s="50">
        <v>3</v>
      </c>
      <c r="G324" s="50">
        <v>0</v>
      </c>
      <c r="V324">
        <f t="shared" si="10"/>
        <v>0</v>
      </c>
      <c r="AA324" s="55"/>
      <c r="AC324" s="55"/>
      <c r="AE324" s="55"/>
    </row>
    <row r="325" spans="2:31" x14ac:dyDescent="0.25">
      <c r="B325" s="49"/>
      <c r="C325" s="35"/>
      <c r="D325" s="35" t="s">
        <v>557</v>
      </c>
      <c r="E325" s="42" t="s">
        <v>626</v>
      </c>
      <c r="F325" s="50">
        <v>3</v>
      </c>
      <c r="G325" s="50">
        <v>0</v>
      </c>
      <c r="V325">
        <f t="shared" si="10"/>
        <v>0</v>
      </c>
      <c r="AA325" s="55"/>
      <c r="AC325" s="55"/>
      <c r="AE325" s="55"/>
    </row>
    <row r="326" spans="2:31" ht="20.25" x14ac:dyDescent="0.25">
      <c r="B326" s="49"/>
      <c r="C326" s="36" t="s">
        <v>558</v>
      </c>
      <c r="D326" s="35" t="s">
        <v>559</v>
      </c>
      <c r="E326" s="42" t="s">
        <v>626</v>
      </c>
      <c r="F326" s="50">
        <v>3</v>
      </c>
      <c r="G326" s="50">
        <v>0</v>
      </c>
      <c r="V326">
        <f t="shared" si="10"/>
        <v>0</v>
      </c>
      <c r="AA326" s="55"/>
      <c r="AC326" s="55"/>
      <c r="AE326" s="55"/>
    </row>
    <row r="327" spans="2:31" x14ac:dyDescent="0.25">
      <c r="B327" s="49"/>
      <c r="C327" s="35"/>
      <c r="D327" s="35" t="s">
        <v>560</v>
      </c>
      <c r="E327" s="42" t="s">
        <v>626</v>
      </c>
      <c r="F327" s="50">
        <v>3</v>
      </c>
      <c r="G327" s="50">
        <v>0</v>
      </c>
      <c r="V327">
        <f t="shared" si="10"/>
        <v>0</v>
      </c>
      <c r="AA327" s="55"/>
      <c r="AC327" s="55"/>
      <c r="AE327" s="55"/>
    </row>
    <row r="328" spans="2:31" x14ac:dyDescent="0.25">
      <c r="B328" s="49"/>
      <c r="C328" s="35" t="s">
        <v>561</v>
      </c>
      <c r="D328" s="35" t="s">
        <v>562</v>
      </c>
      <c r="E328" s="42" t="s">
        <v>626</v>
      </c>
      <c r="F328" s="50">
        <v>3</v>
      </c>
      <c r="G328" s="50">
        <v>0</v>
      </c>
      <c r="V328">
        <f t="shared" si="10"/>
        <v>0</v>
      </c>
      <c r="AA328" s="55"/>
      <c r="AC328" s="55"/>
      <c r="AE328" s="55"/>
    </row>
    <row r="329" spans="2:31" x14ac:dyDescent="0.25">
      <c r="B329" s="49"/>
      <c r="C329" s="35" t="s">
        <v>563</v>
      </c>
      <c r="D329" s="35" t="s">
        <v>564</v>
      </c>
      <c r="E329" s="42" t="s">
        <v>626</v>
      </c>
      <c r="F329" s="50">
        <v>3</v>
      </c>
      <c r="G329" s="50">
        <v>0</v>
      </c>
      <c r="V329">
        <f t="shared" si="10"/>
        <v>0</v>
      </c>
      <c r="AA329" s="55"/>
      <c r="AC329" s="55"/>
      <c r="AE329" s="55"/>
    </row>
    <row r="330" spans="2:31" x14ac:dyDescent="0.25">
      <c r="B330" s="49"/>
      <c r="C330" s="35" t="s">
        <v>565</v>
      </c>
      <c r="D330" s="35" t="s">
        <v>566</v>
      </c>
      <c r="E330" s="42" t="s">
        <v>626</v>
      </c>
      <c r="F330" s="50">
        <v>3</v>
      </c>
      <c r="G330" s="50">
        <v>0</v>
      </c>
      <c r="V330">
        <f t="shared" si="10"/>
        <v>0</v>
      </c>
      <c r="AA330" s="55"/>
      <c r="AC330" s="55"/>
      <c r="AE330" s="55"/>
    </row>
    <row r="331" spans="2:31" x14ac:dyDescent="0.25">
      <c r="B331" s="49"/>
      <c r="C331" s="35"/>
      <c r="D331" s="35" t="s">
        <v>567</v>
      </c>
      <c r="E331" s="42" t="s">
        <v>626</v>
      </c>
      <c r="F331" s="50">
        <v>3</v>
      </c>
      <c r="G331" s="50">
        <v>0</v>
      </c>
      <c r="V331">
        <f t="shared" si="10"/>
        <v>0</v>
      </c>
      <c r="AA331" s="55"/>
      <c r="AC331" s="55"/>
      <c r="AE331" s="55"/>
    </row>
    <row r="332" spans="2:31" x14ac:dyDescent="0.25">
      <c r="B332" s="49"/>
      <c r="C332" s="35" t="s">
        <v>568</v>
      </c>
      <c r="D332" s="35" t="s">
        <v>569</v>
      </c>
      <c r="E332" s="42" t="s">
        <v>626</v>
      </c>
      <c r="F332" s="50">
        <v>3</v>
      </c>
      <c r="G332" s="50">
        <v>0</v>
      </c>
      <c r="V332">
        <f t="shared" si="10"/>
        <v>0</v>
      </c>
      <c r="AA332" s="55"/>
      <c r="AC332" s="55"/>
      <c r="AE332" s="55"/>
    </row>
    <row r="333" spans="2:31" x14ac:dyDescent="0.25">
      <c r="B333" s="49"/>
      <c r="C333" s="35"/>
      <c r="D333" s="35" t="s">
        <v>570</v>
      </c>
      <c r="E333" s="42" t="s">
        <v>626</v>
      </c>
      <c r="F333" s="50">
        <v>3</v>
      </c>
      <c r="G333" s="50">
        <v>0</v>
      </c>
      <c r="V333">
        <f t="shared" si="10"/>
        <v>0</v>
      </c>
      <c r="AA333" s="55"/>
      <c r="AC333" s="55"/>
      <c r="AE333" s="55"/>
    </row>
    <row r="334" spans="2:31" x14ac:dyDescent="0.25">
      <c r="B334" s="49"/>
      <c r="C334" s="35" t="s">
        <v>571</v>
      </c>
      <c r="D334" s="35" t="s">
        <v>572</v>
      </c>
      <c r="E334" s="42" t="s">
        <v>626</v>
      </c>
      <c r="F334" s="50">
        <v>3</v>
      </c>
      <c r="G334" s="50">
        <v>0</v>
      </c>
      <c r="V334">
        <f t="shared" si="10"/>
        <v>0</v>
      </c>
      <c r="AA334" s="55"/>
      <c r="AC334" s="55"/>
      <c r="AE334" s="55"/>
    </row>
    <row r="335" spans="2:31" x14ac:dyDescent="0.25">
      <c r="B335" s="49"/>
      <c r="C335" s="35" t="s">
        <v>573</v>
      </c>
      <c r="D335" s="35" t="s">
        <v>574</v>
      </c>
      <c r="E335" s="42" t="s">
        <v>626</v>
      </c>
      <c r="F335" s="50">
        <v>3</v>
      </c>
      <c r="G335" s="50">
        <v>0</v>
      </c>
      <c r="V335">
        <f t="shared" si="10"/>
        <v>0</v>
      </c>
      <c r="AA335" s="55"/>
      <c r="AC335" s="55"/>
      <c r="AE335" s="55"/>
    </row>
    <row r="336" spans="2:31" x14ac:dyDescent="0.25">
      <c r="B336" s="49"/>
      <c r="C336" s="35" t="s">
        <v>558</v>
      </c>
      <c r="D336" s="35" t="s">
        <v>575</v>
      </c>
      <c r="E336" s="42"/>
      <c r="F336" s="50">
        <v>3</v>
      </c>
      <c r="G336" s="50">
        <v>0</v>
      </c>
      <c r="V336">
        <f t="shared" si="10"/>
        <v>0</v>
      </c>
      <c r="AA336" s="55"/>
      <c r="AC336" s="55"/>
      <c r="AE336" s="55"/>
    </row>
    <row r="337" spans="1:31" x14ac:dyDescent="0.25">
      <c r="B337" s="49"/>
      <c r="C337" s="37" t="s">
        <v>576</v>
      </c>
      <c r="D337" s="37" t="s">
        <v>577</v>
      </c>
      <c r="E337" s="42" t="s">
        <v>626</v>
      </c>
      <c r="F337" s="50">
        <v>3</v>
      </c>
      <c r="G337" s="50">
        <v>0</v>
      </c>
      <c r="V337">
        <f t="shared" si="10"/>
        <v>0</v>
      </c>
      <c r="AA337" s="55"/>
      <c r="AC337" s="55"/>
      <c r="AE337" s="55"/>
    </row>
    <row r="338" spans="1:31" ht="18.75" thickBot="1" x14ac:dyDescent="0.3">
      <c r="B338" s="49"/>
      <c r="C338" s="38" t="s">
        <v>578</v>
      </c>
      <c r="D338" s="39" t="s">
        <v>579</v>
      </c>
      <c r="E338" s="44" t="s">
        <v>626</v>
      </c>
      <c r="F338" s="50">
        <v>3</v>
      </c>
      <c r="G338" s="50">
        <v>0</v>
      </c>
      <c r="V338">
        <f t="shared" si="10"/>
        <v>0</v>
      </c>
      <c r="AA338" s="55"/>
      <c r="AC338" s="55"/>
      <c r="AE338" s="55"/>
    </row>
    <row r="339" spans="1:31" x14ac:dyDescent="0.25">
      <c r="B339" s="4"/>
      <c r="C339" s="4"/>
      <c r="D339" s="4" t="s">
        <v>580</v>
      </c>
      <c r="E339" s="4"/>
      <c r="F339" s="4">
        <f>SUM(F288:F338)</f>
        <v>153</v>
      </c>
      <c r="G339" s="4">
        <v>0</v>
      </c>
      <c r="V339">
        <f t="shared" ref="V339:V360" si="11">S339*G339</f>
        <v>0</v>
      </c>
      <c r="AA339" s="55"/>
      <c r="AC339" s="55"/>
      <c r="AE339" s="55"/>
    </row>
    <row r="340" spans="1:31" x14ac:dyDescent="0.25">
      <c r="A340" s="46"/>
      <c r="B340" s="40"/>
      <c r="C340" s="40"/>
      <c r="D340" s="40"/>
      <c r="E340" s="40"/>
      <c r="F340" s="40"/>
      <c r="G340" s="40">
        <v>0</v>
      </c>
      <c r="V340">
        <f t="shared" si="11"/>
        <v>0</v>
      </c>
      <c r="AA340" s="55"/>
      <c r="AC340" s="55"/>
      <c r="AE340" s="55"/>
    </row>
    <row r="341" spans="1:31" x14ac:dyDescent="0.25">
      <c r="B341" s="1"/>
      <c r="C341" s="1"/>
      <c r="D341" s="91" t="s">
        <v>1</v>
      </c>
      <c r="E341" s="93" t="s">
        <v>644</v>
      </c>
      <c r="F341" s="50"/>
      <c r="G341" s="50">
        <v>0</v>
      </c>
      <c r="V341">
        <f t="shared" si="11"/>
        <v>0</v>
      </c>
      <c r="AA341" s="55"/>
      <c r="AC341" s="55"/>
      <c r="AE341" s="55"/>
    </row>
    <row r="342" spans="1:31" x14ac:dyDescent="0.25">
      <c r="B342" s="1"/>
      <c r="C342" s="1"/>
      <c r="D342" s="92"/>
      <c r="E342" s="94"/>
      <c r="F342" s="50"/>
      <c r="G342" s="50">
        <v>0</v>
      </c>
      <c r="V342">
        <f t="shared" si="11"/>
        <v>0</v>
      </c>
      <c r="AA342" s="55"/>
      <c r="AC342" s="55"/>
      <c r="AE342" s="55"/>
    </row>
    <row r="343" spans="1:31" x14ac:dyDescent="0.25">
      <c r="B343" s="53"/>
      <c r="C343" s="1" t="s">
        <v>581</v>
      </c>
      <c r="D343" s="3" t="s">
        <v>582</v>
      </c>
      <c r="E343" s="45" t="s">
        <v>626</v>
      </c>
      <c r="F343" s="50"/>
      <c r="G343" s="50">
        <v>0</v>
      </c>
      <c r="V343">
        <f t="shared" si="11"/>
        <v>0</v>
      </c>
      <c r="AA343" s="55"/>
      <c r="AC343" s="55"/>
      <c r="AE343" s="55"/>
    </row>
    <row r="344" spans="1:31" x14ac:dyDescent="0.25">
      <c r="B344" s="53"/>
      <c r="C344" s="1" t="s">
        <v>583</v>
      </c>
      <c r="D344" s="3" t="s">
        <v>584</v>
      </c>
      <c r="E344" s="45" t="s">
        <v>626</v>
      </c>
      <c r="F344" s="50"/>
      <c r="G344" s="50">
        <v>0</v>
      </c>
      <c r="V344">
        <f t="shared" si="11"/>
        <v>0</v>
      </c>
      <c r="AA344" s="55"/>
      <c r="AC344" s="55"/>
      <c r="AE344" s="55"/>
    </row>
    <row r="345" spans="1:31" x14ac:dyDescent="0.25">
      <c r="B345" s="53"/>
      <c r="C345" s="1" t="s">
        <v>585</v>
      </c>
      <c r="D345" s="3" t="s">
        <v>586</v>
      </c>
      <c r="E345" s="45" t="s">
        <v>626</v>
      </c>
      <c r="F345" s="50"/>
      <c r="G345" s="50">
        <v>0</v>
      </c>
      <c r="V345">
        <f t="shared" si="11"/>
        <v>0</v>
      </c>
      <c r="AA345" s="55"/>
      <c r="AC345" s="55"/>
      <c r="AE345" s="55"/>
    </row>
    <row r="346" spans="1:31" x14ac:dyDescent="0.25">
      <c r="B346" s="53"/>
      <c r="C346" s="1" t="s">
        <v>587</v>
      </c>
      <c r="D346" s="3" t="s">
        <v>588</v>
      </c>
      <c r="E346" s="45" t="s">
        <v>626</v>
      </c>
      <c r="F346" s="50"/>
      <c r="G346" s="50">
        <v>0</v>
      </c>
      <c r="V346">
        <f t="shared" si="11"/>
        <v>0</v>
      </c>
      <c r="AA346" s="55"/>
      <c r="AC346" s="55"/>
      <c r="AE346" s="55"/>
    </row>
    <row r="347" spans="1:31" x14ac:dyDescent="0.25">
      <c r="B347" s="53"/>
      <c r="C347" s="1" t="s">
        <v>589</v>
      </c>
      <c r="D347" s="3" t="s">
        <v>590</v>
      </c>
      <c r="E347" s="45" t="s">
        <v>626</v>
      </c>
      <c r="F347" s="50"/>
      <c r="G347" s="50">
        <v>0</v>
      </c>
      <c r="V347">
        <f t="shared" si="11"/>
        <v>0</v>
      </c>
      <c r="AA347" s="55"/>
      <c r="AC347" s="55"/>
      <c r="AE347" s="55"/>
    </row>
    <row r="348" spans="1:31" x14ac:dyDescent="0.25">
      <c r="B348" s="53"/>
      <c r="C348" s="1" t="s">
        <v>591</v>
      </c>
      <c r="D348" s="3" t="s">
        <v>592</v>
      </c>
      <c r="E348" s="45" t="s">
        <v>626</v>
      </c>
      <c r="F348" s="50"/>
      <c r="G348" s="50">
        <v>0</v>
      </c>
      <c r="V348">
        <f t="shared" si="11"/>
        <v>0</v>
      </c>
      <c r="AA348" s="55"/>
      <c r="AC348" s="55"/>
      <c r="AE348" s="55"/>
    </row>
    <row r="349" spans="1:31" x14ac:dyDescent="0.25">
      <c r="B349" s="53"/>
      <c r="C349" s="1" t="s">
        <v>593</v>
      </c>
      <c r="D349" s="3" t="s">
        <v>594</v>
      </c>
      <c r="E349" s="45" t="s">
        <v>626</v>
      </c>
      <c r="F349" s="50"/>
      <c r="G349" s="50">
        <v>0</v>
      </c>
      <c r="V349">
        <f t="shared" si="11"/>
        <v>0</v>
      </c>
      <c r="AA349" s="55"/>
      <c r="AC349" s="55"/>
      <c r="AE349" s="55"/>
    </row>
    <row r="350" spans="1:31" x14ac:dyDescent="0.25">
      <c r="B350" s="53"/>
      <c r="C350" s="1" t="s">
        <v>595</v>
      </c>
      <c r="D350" s="3" t="s">
        <v>596</v>
      </c>
      <c r="E350" s="45" t="s">
        <v>626</v>
      </c>
      <c r="F350" s="50"/>
      <c r="G350" s="50">
        <v>0</v>
      </c>
      <c r="V350">
        <f t="shared" si="11"/>
        <v>0</v>
      </c>
      <c r="AA350" s="55"/>
      <c r="AC350" s="55"/>
      <c r="AE350" s="55"/>
    </row>
    <row r="351" spans="1:31" x14ac:dyDescent="0.25">
      <c r="B351" s="53"/>
      <c r="C351" s="1" t="s">
        <v>597</v>
      </c>
      <c r="D351" s="3" t="s">
        <v>598</v>
      </c>
      <c r="E351" s="45" t="s">
        <v>626</v>
      </c>
      <c r="F351" s="50"/>
      <c r="G351" s="50">
        <v>0</v>
      </c>
      <c r="V351">
        <f t="shared" si="11"/>
        <v>0</v>
      </c>
      <c r="AA351" s="55"/>
      <c r="AC351" s="55"/>
      <c r="AE351" s="55"/>
    </row>
    <row r="352" spans="1:31" x14ac:dyDescent="0.25">
      <c r="B352" s="53"/>
      <c r="C352" s="1" t="s">
        <v>599</v>
      </c>
      <c r="D352" s="3" t="s">
        <v>600</v>
      </c>
      <c r="E352" s="45" t="s">
        <v>626</v>
      </c>
      <c r="F352" s="50"/>
      <c r="G352" s="50">
        <v>0</v>
      </c>
      <c r="V352">
        <f t="shared" si="11"/>
        <v>0</v>
      </c>
      <c r="AA352" s="55"/>
      <c r="AC352" s="55"/>
      <c r="AE352" s="55"/>
    </row>
    <row r="353" spans="2:31" x14ac:dyDescent="0.25">
      <c r="B353" s="53"/>
      <c r="C353" s="1" t="s">
        <v>601</v>
      </c>
      <c r="D353" s="3" t="s">
        <v>602</v>
      </c>
      <c r="E353" s="45" t="s">
        <v>626</v>
      </c>
      <c r="F353" s="50"/>
      <c r="G353" s="50">
        <v>0</v>
      </c>
      <c r="V353">
        <f t="shared" si="11"/>
        <v>0</v>
      </c>
      <c r="AA353" s="55"/>
      <c r="AC353" s="55"/>
      <c r="AE353" s="55"/>
    </row>
    <row r="354" spans="2:31" x14ac:dyDescent="0.25">
      <c r="B354" s="53"/>
      <c r="C354" s="1" t="s">
        <v>603</v>
      </c>
      <c r="D354" s="3" t="s">
        <v>604</v>
      </c>
      <c r="E354" s="45" t="s">
        <v>626</v>
      </c>
      <c r="F354" s="50"/>
      <c r="G354" s="50">
        <v>0</v>
      </c>
      <c r="V354">
        <f t="shared" si="11"/>
        <v>0</v>
      </c>
      <c r="AA354" s="55"/>
      <c r="AC354" s="55"/>
      <c r="AE354" s="55"/>
    </row>
    <row r="355" spans="2:31" x14ac:dyDescent="0.25">
      <c r="B355" s="53"/>
      <c r="C355" s="1" t="s">
        <v>605</v>
      </c>
      <c r="D355" s="3" t="s">
        <v>606</v>
      </c>
      <c r="E355" s="45" t="s">
        <v>626</v>
      </c>
      <c r="F355" s="50"/>
      <c r="G355" s="50">
        <v>0</v>
      </c>
      <c r="V355">
        <f t="shared" si="11"/>
        <v>0</v>
      </c>
      <c r="AA355" s="55"/>
      <c r="AC355" s="55"/>
      <c r="AE355" s="55"/>
    </row>
    <row r="356" spans="2:31" x14ac:dyDescent="0.25">
      <c r="B356" s="53"/>
      <c r="C356" s="1" t="s">
        <v>607</v>
      </c>
      <c r="D356" s="3" t="s">
        <v>608</v>
      </c>
      <c r="E356" s="45" t="s">
        <v>626</v>
      </c>
      <c r="F356" s="50"/>
      <c r="G356" s="50">
        <v>0</v>
      </c>
      <c r="V356">
        <f t="shared" si="11"/>
        <v>0</v>
      </c>
      <c r="AA356" s="55"/>
      <c r="AC356" s="55"/>
      <c r="AE356" s="55"/>
    </row>
    <row r="357" spans="2:31" x14ac:dyDescent="0.25">
      <c r="B357" s="53"/>
      <c r="C357" s="1" t="s">
        <v>609</v>
      </c>
      <c r="D357" s="3" t="s">
        <v>610</v>
      </c>
      <c r="E357" s="45" t="s">
        <v>626</v>
      </c>
      <c r="F357" s="50"/>
      <c r="G357" s="50">
        <v>0</v>
      </c>
      <c r="V357">
        <f t="shared" si="11"/>
        <v>0</v>
      </c>
      <c r="AA357" s="55"/>
      <c r="AC357" s="55"/>
      <c r="AE357" s="55"/>
    </row>
    <row r="358" spans="2:31" x14ac:dyDescent="0.25">
      <c r="B358" s="53"/>
      <c r="C358" s="1" t="s">
        <v>611</v>
      </c>
      <c r="D358" s="3" t="s">
        <v>612</v>
      </c>
      <c r="E358" s="45" t="s">
        <v>626</v>
      </c>
      <c r="F358" s="50"/>
      <c r="G358" s="50">
        <v>0</v>
      </c>
      <c r="V358">
        <f t="shared" si="11"/>
        <v>0</v>
      </c>
      <c r="AA358" s="55"/>
      <c r="AC358" s="55"/>
      <c r="AE358" s="55"/>
    </row>
    <row r="359" spans="2:31" x14ac:dyDescent="0.25">
      <c r="B359" s="53"/>
      <c r="C359" s="1" t="s">
        <v>613</v>
      </c>
      <c r="D359" s="3" t="s">
        <v>614</v>
      </c>
      <c r="E359" s="45" t="s">
        <v>626</v>
      </c>
      <c r="F359" s="50"/>
      <c r="G359" s="50">
        <v>0</v>
      </c>
      <c r="V359">
        <f t="shared" si="11"/>
        <v>0</v>
      </c>
      <c r="AA359" s="55"/>
      <c r="AC359" s="55"/>
      <c r="AE359" s="55"/>
    </row>
    <row r="360" spans="2:31" x14ac:dyDescent="0.25">
      <c r="B360" s="53"/>
      <c r="C360" s="1" t="s">
        <v>615</v>
      </c>
      <c r="D360" s="3" t="s">
        <v>616</v>
      </c>
      <c r="E360" s="45" t="s">
        <v>626</v>
      </c>
      <c r="F360" s="50"/>
      <c r="G360" s="50">
        <v>0</v>
      </c>
      <c r="V360">
        <f t="shared" si="11"/>
        <v>0</v>
      </c>
      <c r="AA360" s="55"/>
      <c r="AC360" s="55"/>
      <c r="AE360" s="55"/>
    </row>
  </sheetData>
  <autoFilter ref="A1:AE360"/>
  <mergeCells count="10">
    <mergeCell ref="Z2:AA2"/>
    <mergeCell ref="AB2:AC2"/>
    <mergeCell ref="AD2:AE2"/>
    <mergeCell ref="D341:D342"/>
    <mergeCell ref="E341:E342"/>
    <mergeCell ref="A2:A3"/>
    <mergeCell ref="B2:B3"/>
    <mergeCell ref="D2:D3"/>
    <mergeCell ref="E2:E3"/>
    <mergeCell ref="B217:B220"/>
  </mergeCells>
  <dataValidations count="4">
    <dataValidation type="list" allowBlank="1" showInputMessage="1" showErrorMessage="1" sqref="AD4:AD360">
      <formula1>$A$16:$A$23</formula1>
    </dataValidation>
    <dataValidation type="list" allowBlank="1" showInputMessage="1" showErrorMessage="1" sqref="Z4:Z360">
      <formula1>$A$16:$A$23</formula1>
    </dataValidation>
    <dataValidation type="list" allowBlank="1" showInputMessage="1" showErrorMessage="1" sqref="AC4:AC360">
      <formula1>$B$16:$B$65</formula1>
    </dataValidation>
    <dataValidation type="list" allowBlank="1" showInputMessage="1" showErrorMessage="1" sqref="AA4:AA17 AA37:AA360">
      <formula1>$B$16:$B$65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input!$A$1:$A$8</xm:f>
          </x14:formula1>
          <xm:sqref>AB4:AB360</xm:sqref>
        </x14:dataValidation>
        <x14:dataValidation type="list" allowBlank="1" showInputMessage="1" showErrorMessage="1">
          <x14:formula1>
            <xm:f>input!$B$1:$B$65</xm:f>
          </x14:formula1>
          <xm:sqref>AE4:AE360</xm:sqref>
        </x14:dataValidation>
        <x14:dataValidation type="list" allowBlank="1" showInputMessage="1" showErrorMessage="1">
          <x14:formula1>
            <xm:f>input!$B$1:$B$32</xm:f>
          </x14:formula1>
          <xm:sqref>AA18:AA36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7"/>
  <sheetViews>
    <sheetView rightToLeft="1" workbookViewId="0">
      <selection activeCell="J27" sqref="A1:J27"/>
    </sheetView>
  </sheetViews>
  <sheetFormatPr defaultRowHeight="15" x14ac:dyDescent="0.25"/>
  <cols>
    <col min="1" max="2" width="21" customWidth="1"/>
    <col min="3" max="3" width="21" style="78" customWidth="1"/>
    <col min="4" max="9" width="21" customWidth="1"/>
    <col min="10" max="10" width="21.85546875" bestFit="1" customWidth="1"/>
  </cols>
  <sheetData>
    <row r="1" spans="1:10" x14ac:dyDescent="0.25">
      <c r="A1" t="s">
        <v>705</v>
      </c>
      <c r="B1" t="s">
        <v>706</v>
      </c>
      <c r="C1" s="78" t="s">
        <v>1</v>
      </c>
      <c r="D1" t="s">
        <v>707</v>
      </c>
      <c r="E1" t="s">
        <v>709</v>
      </c>
      <c r="F1" t="s">
        <v>711</v>
      </c>
      <c r="G1" t="s">
        <v>708</v>
      </c>
      <c r="H1" t="s">
        <v>710</v>
      </c>
      <c r="I1" t="s">
        <v>689</v>
      </c>
      <c r="J1" t="s">
        <v>691</v>
      </c>
    </row>
    <row r="2" spans="1:10" ht="18" x14ac:dyDescent="0.25">
      <c r="J2" s="77"/>
    </row>
    <row r="3" spans="1:10" ht="18" x14ac:dyDescent="0.25">
      <c r="A3" t="s">
        <v>699</v>
      </c>
      <c r="B3">
        <v>17</v>
      </c>
      <c r="C3" s="78" t="s">
        <v>38</v>
      </c>
      <c r="D3" t="s">
        <v>37</v>
      </c>
      <c r="E3">
        <v>36</v>
      </c>
      <c r="F3">
        <v>141</v>
      </c>
      <c r="G3">
        <v>5076</v>
      </c>
      <c r="H3">
        <f t="shared" ref="H3:H24" si="0">F3*E3</f>
        <v>5076</v>
      </c>
      <c r="J3" s="77">
        <v>43304.553854166668</v>
      </c>
    </row>
    <row r="4" spans="1:10" ht="18" x14ac:dyDescent="0.25">
      <c r="A4" t="s">
        <v>699</v>
      </c>
      <c r="B4">
        <v>17</v>
      </c>
      <c r="C4" s="78" t="s">
        <v>40</v>
      </c>
      <c r="D4" t="s">
        <v>39</v>
      </c>
      <c r="E4">
        <v>36</v>
      </c>
      <c r="F4">
        <v>141</v>
      </c>
      <c r="G4">
        <v>5076</v>
      </c>
      <c r="H4">
        <f t="shared" si="0"/>
        <v>5076</v>
      </c>
      <c r="J4" s="77">
        <v>43305.553854166668</v>
      </c>
    </row>
    <row r="5" spans="1:10" ht="18" x14ac:dyDescent="0.25">
      <c r="A5" t="s">
        <v>699</v>
      </c>
      <c r="B5">
        <v>14</v>
      </c>
      <c r="C5" s="78" t="s">
        <v>42</v>
      </c>
      <c r="D5" t="s">
        <v>41</v>
      </c>
      <c r="E5">
        <v>36</v>
      </c>
      <c r="F5">
        <v>141</v>
      </c>
      <c r="G5">
        <v>5076</v>
      </c>
      <c r="H5">
        <f t="shared" si="0"/>
        <v>5076</v>
      </c>
      <c r="J5" s="77">
        <v>43303.553854166668</v>
      </c>
    </row>
    <row r="6" spans="1:10" ht="18" x14ac:dyDescent="0.25">
      <c r="A6" t="s">
        <v>699</v>
      </c>
      <c r="B6">
        <v>14</v>
      </c>
      <c r="C6" s="78" t="s">
        <v>721</v>
      </c>
      <c r="D6" t="s">
        <v>43</v>
      </c>
      <c r="E6">
        <v>52</v>
      </c>
      <c r="F6">
        <v>12</v>
      </c>
      <c r="G6">
        <v>624</v>
      </c>
      <c r="H6">
        <f t="shared" si="0"/>
        <v>624</v>
      </c>
      <c r="J6" s="77">
        <v>43305.553854166668</v>
      </c>
    </row>
    <row r="7" spans="1:10" ht="18" x14ac:dyDescent="0.25">
      <c r="A7" t="s">
        <v>699</v>
      </c>
      <c r="B7">
        <v>15</v>
      </c>
      <c r="C7" s="78" t="s">
        <v>722</v>
      </c>
      <c r="D7" t="s">
        <v>45</v>
      </c>
      <c r="E7">
        <v>90</v>
      </c>
      <c r="F7">
        <v>0</v>
      </c>
      <c r="G7">
        <v>0</v>
      </c>
      <c r="H7">
        <f t="shared" si="0"/>
        <v>0</v>
      </c>
      <c r="J7" s="77">
        <v>43306.553854166668</v>
      </c>
    </row>
    <row r="8" spans="1:10" ht="18" x14ac:dyDescent="0.25">
      <c r="A8" t="s">
        <v>699</v>
      </c>
      <c r="B8">
        <v>20</v>
      </c>
      <c r="C8" s="78" t="s">
        <v>723</v>
      </c>
      <c r="D8" t="s">
        <v>47</v>
      </c>
      <c r="E8">
        <v>80</v>
      </c>
      <c r="F8">
        <v>11.4125</v>
      </c>
      <c r="G8">
        <v>913</v>
      </c>
      <c r="H8">
        <f t="shared" si="0"/>
        <v>913</v>
      </c>
      <c r="J8" s="77">
        <v>43305.553854166668</v>
      </c>
    </row>
    <row r="9" spans="1:10" ht="18" x14ac:dyDescent="0.25">
      <c r="A9" t="s">
        <v>699</v>
      </c>
      <c r="B9">
        <v>21</v>
      </c>
      <c r="C9" s="78" t="s">
        <v>724</v>
      </c>
      <c r="D9" t="s">
        <v>49</v>
      </c>
      <c r="E9">
        <v>120</v>
      </c>
      <c r="F9">
        <v>1</v>
      </c>
      <c r="G9">
        <v>120</v>
      </c>
      <c r="H9">
        <f t="shared" si="0"/>
        <v>120</v>
      </c>
      <c r="J9" s="77">
        <v>43303.553854166668</v>
      </c>
    </row>
    <row r="10" spans="1:10" ht="18" x14ac:dyDescent="0.25">
      <c r="A10" t="s">
        <v>699</v>
      </c>
      <c r="B10">
        <v>22</v>
      </c>
      <c r="C10" s="78" t="s">
        <v>52</v>
      </c>
      <c r="D10" t="s">
        <v>51</v>
      </c>
      <c r="E10">
        <v>8</v>
      </c>
      <c r="F10">
        <v>66</v>
      </c>
      <c r="G10">
        <v>528</v>
      </c>
      <c r="H10">
        <f t="shared" si="0"/>
        <v>528</v>
      </c>
      <c r="J10" s="77">
        <v>43305.553854166668</v>
      </c>
    </row>
    <row r="11" spans="1:10" ht="18" x14ac:dyDescent="0.25">
      <c r="A11" t="s">
        <v>699</v>
      </c>
      <c r="B11">
        <v>22</v>
      </c>
      <c r="C11" s="78" t="s">
        <v>54</v>
      </c>
      <c r="D11" t="s">
        <v>53</v>
      </c>
      <c r="E11">
        <v>6</v>
      </c>
      <c r="F11">
        <v>86</v>
      </c>
      <c r="G11">
        <v>516</v>
      </c>
      <c r="H11">
        <f t="shared" si="0"/>
        <v>516</v>
      </c>
      <c r="J11" s="77">
        <v>43300.553854166668</v>
      </c>
    </row>
    <row r="12" spans="1:10" ht="18" x14ac:dyDescent="0.25">
      <c r="A12" t="s">
        <v>699</v>
      </c>
      <c r="B12">
        <v>22</v>
      </c>
      <c r="C12" s="78" t="s">
        <v>56</v>
      </c>
      <c r="D12" t="s">
        <v>55</v>
      </c>
      <c r="E12">
        <v>200</v>
      </c>
      <c r="F12">
        <v>7.4749999999999996</v>
      </c>
      <c r="G12">
        <v>1495</v>
      </c>
      <c r="H12">
        <f t="shared" si="0"/>
        <v>1495</v>
      </c>
      <c r="J12" s="77">
        <v>43305.553854166668</v>
      </c>
    </row>
    <row r="13" spans="1:10" ht="18" x14ac:dyDescent="0.25">
      <c r="A13" t="s">
        <v>699</v>
      </c>
      <c r="B13">
        <v>2</v>
      </c>
      <c r="C13" s="78" t="s">
        <v>84</v>
      </c>
      <c r="D13" t="s">
        <v>83</v>
      </c>
      <c r="E13">
        <v>10</v>
      </c>
      <c r="J13" s="77">
        <v>43299.553854166668</v>
      </c>
    </row>
    <row r="14" spans="1:10" ht="18" x14ac:dyDescent="0.25">
      <c r="A14" t="s">
        <v>700</v>
      </c>
      <c r="B14">
        <v>15</v>
      </c>
      <c r="C14" s="78" t="s">
        <v>34</v>
      </c>
      <c r="D14" t="s">
        <v>33</v>
      </c>
      <c r="E14">
        <v>0</v>
      </c>
      <c r="F14">
        <v>141</v>
      </c>
      <c r="H14">
        <f t="shared" si="0"/>
        <v>0</v>
      </c>
      <c r="J14" s="77">
        <v>43305.553854166668</v>
      </c>
    </row>
    <row r="15" spans="1:10" ht="18" x14ac:dyDescent="0.25">
      <c r="A15" t="s">
        <v>700</v>
      </c>
      <c r="B15">
        <v>17</v>
      </c>
      <c r="C15" s="78" t="s">
        <v>36</v>
      </c>
      <c r="D15" t="s">
        <v>35</v>
      </c>
      <c r="E15">
        <v>0.3</v>
      </c>
      <c r="F15">
        <v>100</v>
      </c>
      <c r="H15">
        <f t="shared" si="0"/>
        <v>30</v>
      </c>
      <c r="J15" s="77">
        <v>43301.553854166668</v>
      </c>
    </row>
    <row r="16" spans="1:10" ht="18" x14ac:dyDescent="0.25">
      <c r="A16" t="s">
        <v>700</v>
      </c>
      <c r="B16" s="55">
        <v>5</v>
      </c>
      <c r="C16" s="78" t="s">
        <v>58</v>
      </c>
      <c r="D16" t="s">
        <v>57</v>
      </c>
      <c r="E16">
        <v>0.4</v>
      </c>
      <c r="F16">
        <v>49</v>
      </c>
      <c r="H16">
        <f t="shared" si="0"/>
        <v>19.600000000000001</v>
      </c>
      <c r="J16" s="77">
        <v>43306.553854166668</v>
      </c>
    </row>
    <row r="17" spans="1:10" ht="18" x14ac:dyDescent="0.25">
      <c r="A17" t="s">
        <v>700</v>
      </c>
      <c r="B17" s="55">
        <v>5</v>
      </c>
      <c r="C17" s="78" t="s">
        <v>60</v>
      </c>
      <c r="D17" t="s">
        <v>59</v>
      </c>
      <c r="E17">
        <v>0.5</v>
      </c>
      <c r="F17">
        <v>38</v>
      </c>
      <c r="H17">
        <f t="shared" si="0"/>
        <v>19</v>
      </c>
      <c r="J17" s="77">
        <v>43291.553854166668</v>
      </c>
    </row>
    <row r="18" spans="1:10" ht="18" x14ac:dyDescent="0.25">
      <c r="A18" t="s">
        <v>700</v>
      </c>
      <c r="B18" s="55">
        <v>5</v>
      </c>
      <c r="C18" s="78" t="s">
        <v>61</v>
      </c>
      <c r="E18">
        <v>0.2</v>
      </c>
      <c r="F18">
        <v>0</v>
      </c>
      <c r="H18">
        <f t="shared" si="0"/>
        <v>0</v>
      </c>
      <c r="J18" s="77">
        <v>43306.553854166668</v>
      </c>
    </row>
    <row r="19" spans="1:10" ht="18" x14ac:dyDescent="0.25">
      <c r="A19" t="s">
        <v>700</v>
      </c>
      <c r="B19" s="55">
        <v>6</v>
      </c>
      <c r="C19" s="78" t="s">
        <v>62</v>
      </c>
      <c r="D19" t="s">
        <v>29</v>
      </c>
      <c r="E19">
        <v>0.33</v>
      </c>
      <c r="F19">
        <v>140</v>
      </c>
      <c r="H19">
        <f t="shared" si="0"/>
        <v>46.2</v>
      </c>
      <c r="J19" s="77">
        <v>43282.553854166668</v>
      </c>
    </row>
    <row r="20" spans="1:10" ht="18" x14ac:dyDescent="0.25">
      <c r="A20" t="s">
        <v>700</v>
      </c>
      <c r="B20" s="55">
        <v>6</v>
      </c>
      <c r="C20" s="78" t="s">
        <v>64</v>
      </c>
      <c r="D20" t="s">
        <v>63</v>
      </c>
      <c r="E20">
        <v>0.37</v>
      </c>
      <c r="F20">
        <v>0</v>
      </c>
      <c r="H20">
        <f t="shared" si="0"/>
        <v>0</v>
      </c>
      <c r="J20" s="77">
        <v>43306.553854166668</v>
      </c>
    </row>
    <row r="21" spans="1:10" ht="18" x14ac:dyDescent="0.25">
      <c r="A21" t="s">
        <v>700</v>
      </c>
      <c r="B21" s="55">
        <v>6</v>
      </c>
      <c r="C21" s="78" t="s">
        <v>66</v>
      </c>
      <c r="D21" t="s">
        <v>65</v>
      </c>
      <c r="E21">
        <v>0.4</v>
      </c>
      <c r="F21">
        <v>44</v>
      </c>
      <c r="H21">
        <f t="shared" si="0"/>
        <v>17.600000000000001</v>
      </c>
      <c r="J21" s="77">
        <v>43283.553854166668</v>
      </c>
    </row>
    <row r="22" spans="1:10" ht="18" x14ac:dyDescent="0.25">
      <c r="A22" t="s">
        <v>700</v>
      </c>
      <c r="B22" s="55">
        <v>22</v>
      </c>
      <c r="C22" s="78" t="s">
        <v>485</v>
      </c>
      <c r="D22" t="s">
        <v>484</v>
      </c>
      <c r="E22">
        <v>0</v>
      </c>
      <c r="F22">
        <v>353.01000000000005</v>
      </c>
      <c r="H22">
        <f t="shared" si="0"/>
        <v>0</v>
      </c>
      <c r="J22" s="77">
        <v>43284.553854166668</v>
      </c>
    </row>
    <row r="23" spans="1:10" ht="18" x14ac:dyDescent="0.25">
      <c r="A23" t="s">
        <v>700</v>
      </c>
      <c r="B23" s="55">
        <v>16</v>
      </c>
      <c r="C23" s="78" t="s">
        <v>34</v>
      </c>
      <c r="D23" t="s">
        <v>33</v>
      </c>
      <c r="J23" s="77">
        <v>43285.553854166668</v>
      </c>
    </row>
    <row r="24" spans="1:10" ht="18" x14ac:dyDescent="0.25">
      <c r="A24" t="s">
        <v>700</v>
      </c>
      <c r="B24" s="55">
        <v>18</v>
      </c>
      <c r="C24" s="78" t="s">
        <v>36</v>
      </c>
      <c r="D24" t="s">
        <v>35</v>
      </c>
      <c r="E24">
        <v>0.3</v>
      </c>
      <c r="F24">
        <v>41</v>
      </c>
      <c r="H24">
        <f t="shared" si="0"/>
        <v>12.299999999999999</v>
      </c>
      <c r="J24" s="77">
        <v>43286.553854166668</v>
      </c>
    </row>
    <row r="25" spans="1:10" ht="18" x14ac:dyDescent="0.25">
      <c r="A25" t="s">
        <v>700</v>
      </c>
      <c r="B25" s="55">
        <v>14</v>
      </c>
      <c r="C25" s="78" t="s">
        <v>34</v>
      </c>
      <c r="D25" t="s">
        <v>33</v>
      </c>
      <c r="E25">
        <v>0.73</v>
      </c>
      <c r="J25" s="77">
        <v>43287.553854166668</v>
      </c>
    </row>
    <row r="26" spans="1:10" ht="18" x14ac:dyDescent="0.25">
      <c r="A26" t="s">
        <v>699</v>
      </c>
      <c r="B26" s="55">
        <v>15</v>
      </c>
      <c r="C26" s="78" t="s">
        <v>34</v>
      </c>
      <c r="D26" t="s">
        <v>33</v>
      </c>
      <c r="E26">
        <v>0.73</v>
      </c>
      <c r="J26" s="77">
        <v>43288.553854166668</v>
      </c>
    </row>
    <row r="27" spans="1:10" ht="18" x14ac:dyDescent="0.25">
      <c r="A27" t="s">
        <v>699</v>
      </c>
      <c r="B27">
        <v>13</v>
      </c>
      <c r="C27" s="78" t="s">
        <v>32</v>
      </c>
      <c r="D27" t="s">
        <v>31</v>
      </c>
      <c r="E27">
        <v>36</v>
      </c>
      <c r="F27">
        <v>141</v>
      </c>
      <c r="G27">
        <v>5076</v>
      </c>
      <c r="H27">
        <f>F27*E27</f>
        <v>5076</v>
      </c>
      <c r="J27" s="77">
        <v>43293.553854166668</v>
      </c>
    </row>
  </sheetData>
  <dataValidations count="1">
    <dataValidation type="list" allowBlank="1" showInputMessage="1" showErrorMessage="1" sqref="B14:B26">
      <formula1>$B$16:$B$65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input!$A$1:$A$8</xm:f>
          </x14:formula1>
          <xm:sqref>A2:A27</xm:sqref>
        </x14:dataValidation>
        <x14:dataValidation type="list" allowBlank="1" showInputMessage="1" showErrorMessage="1">
          <x14:formula1>
            <xm:f>input!$B$1:$B$65</xm:f>
          </x14:formula1>
          <xm:sqref>B2:B13 B27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65"/>
  <sheetViews>
    <sheetView rightToLeft="1" topLeftCell="M1" workbookViewId="0">
      <selection activeCell="V12" sqref="V12"/>
    </sheetView>
  </sheetViews>
  <sheetFormatPr defaultRowHeight="15" x14ac:dyDescent="0.25"/>
  <cols>
    <col min="1" max="1" width="22" bestFit="1" customWidth="1"/>
    <col min="3" max="3" width="14.28515625" bestFit="1" customWidth="1"/>
    <col min="4" max="4" width="15.42578125" bestFit="1" customWidth="1"/>
    <col min="5" max="5" width="21.85546875" bestFit="1" customWidth="1"/>
    <col min="6" max="6" width="22" bestFit="1" customWidth="1"/>
    <col min="7" max="7" width="10.140625" bestFit="1" customWidth="1"/>
    <col min="8" max="8" width="16" bestFit="1" customWidth="1"/>
    <col min="9" max="9" width="10.140625" bestFit="1" customWidth="1"/>
    <col min="16" max="16" width="11.28515625" bestFit="1" customWidth="1"/>
    <col min="19" max="19" width="10" bestFit="1" customWidth="1"/>
    <col min="20" max="20" width="10" customWidth="1"/>
    <col min="21" max="21" width="21.85546875" bestFit="1" customWidth="1"/>
    <col min="24" max="24" width="13.85546875" bestFit="1" customWidth="1"/>
    <col min="29" max="29" width="10" bestFit="1" customWidth="1"/>
    <col min="35" max="35" width="10" bestFit="1" customWidth="1"/>
    <col min="40" max="40" width="10" bestFit="1" customWidth="1"/>
  </cols>
  <sheetData>
    <row r="1" spans="1:40" x14ac:dyDescent="0.25">
      <c r="A1" s="79" t="s">
        <v>697</v>
      </c>
      <c r="B1">
        <v>1</v>
      </c>
      <c r="D1" t="s">
        <v>697</v>
      </c>
      <c r="P1" s="80" t="str">
        <f>A1</f>
        <v>مخزن البلوكات</v>
      </c>
      <c r="Q1" s="69" t="s">
        <v>2</v>
      </c>
      <c r="R1" s="69" t="s">
        <v>725</v>
      </c>
      <c r="S1" s="70" t="s">
        <v>720</v>
      </c>
      <c r="T1" s="69"/>
      <c r="U1" s="80" t="str">
        <f>A2</f>
        <v>مخزن الاسطمبات الدور الثاني</v>
      </c>
      <c r="V1" s="69" t="s">
        <v>2</v>
      </c>
      <c r="W1" s="69" t="s">
        <v>725</v>
      </c>
      <c r="X1" s="70" t="s">
        <v>720</v>
      </c>
      <c r="Z1" s="80" t="str">
        <f>A3</f>
        <v>مخزن الاسطمبات الدور الثالث</v>
      </c>
      <c r="AA1" s="69" t="s">
        <v>2</v>
      </c>
      <c r="AB1" s="69" t="s">
        <v>725</v>
      </c>
      <c r="AC1" s="70" t="s">
        <v>720</v>
      </c>
      <c r="AF1" s="80" t="str">
        <f>A4</f>
        <v>مخزن السطح</v>
      </c>
      <c r="AG1" s="69" t="s">
        <v>2</v>
      </c>
      <c r="AH1" s="69" t="s">
        <v>725</v>
      </c>
      <c r="AI1" s="70" t="s">
        <v>720</v>
      </c>
      <c r="AK1" s="80" t="str">
        <f>A5</f>
        <v>مخزن صناديق السمك</v>
      </c>
      <c r="AL1" s="69" t="s">
        <v>2</v>
      </c>
      <c r="AM1" s="69" t="s">
        <v>725</v>
      </c>
      <c r="AN1" s="70" t="s">
        <v>720</v>
      </c>
    </row>
    <row r="2" spans="1:40" x14ac:dyDescent="0.25">
      <c r="A2" s="79" t="s">
        <v>699</v>
      </c>
      <c r="B2">
        <v>2</v>
      </c>
      <c r="E2">
        <v>1</v>
      </c>
      <c r="F2">
        <v>2</v>
      </c>
      <c r="G2">
        <v>3</v>
      </c>
      <c r="H2">
        <v>4</v>
      </c>
      <c r="I2">
        <v>5</v>
      </c>
      <c r="J2">
        <v>6</v>
      </c>
      <c r="K2">
        <v>7</v>
      </c>
      <c r="L2">
        <v>8</v>
      </c>
      <c r="M2">
        <v>9</v>
      </c>
      <c r="P2" s="71">
        <v>1</v>
      </c>
      <c r="Q2" s="72"/>
      <c r="R2" s="72"/>
      <c r="S2" s="73"/>
      <c r="T2" s="72"/>
      <c r="U2" s="71">
        <v>1</v>
      </c>
      <c r="V2" s="72"/>
      <c r="W2" s="72"/>
      <c r="X2" s="73"/>
      <c r="Z2" s="71">
        <v>1</v>
      </c>
      <c r="AA2" s="72"/>
      <c r="AB2" s="72"/>
      <c r="AC2" s="73"/>
      <c r="AF2" s="71">
        <v>1</v>
      </c>
      <c r="AG2" s="72"/>
      <c r="AH2" s="72"/>
      <c r="AI2" s="73"/>
      <c r="AK2" s="71">
        <v>1</v>
      </c>
      <c r="AL2" s="72"/>
      <c r="AM2" s="72"/>
      <c r="AN2" s="73"/>
    </row>
    <row r="3" spans="1:40" x14ac:dyDescent="0.25">
      <c r="A3" s="79" t="s">
        <v>700</v>
      </c>
      <c r="B3">
        <v>3</v>
      </c>
      <c r="D3">
        <v>11</v>
      </c>
      <c r="E3">
        <v>12</v>
      </c>
      <c r="F3">
        <v>13</v>
      </c>
      <c r="G3">
        <v>14</v>
      </c>
      <c r="H3">
        <v>15</v>
      </c>
      <c r="I3">
        <v>16</v>
      </c>
      <c r="J3">
        <v>17</v>
      </c>
      <c r="K3">
        <v>18</v>
      </c>
      <c r="L3">
        <v>19</v>
      </c>
      <c r="M3">
        <v>20</v>
      </c>
      <c r="P3" s="71">
        <v>2</v>
      </c>
      <c r="Q3" s="72"/>
      <c r="R3" s="72"/>
      <c r="S3" s="73"/>
      <c r="T3" s="72"/>
      <c r="U3" s="71">
        <v>2</v>
      </c>
      <c r="V3" s="72"/>
      <c r="W3" s="72"/>
      <c r="X3" s="73"/>
      <c r="Z3" s="71">
        <v>2</v>
      </c>
      <c r="AA3" s="72"/>
      <c r="AB3" s="72"/>
      <c r="AC3" s="73"/>
      <c r="AF3" s="71">
        <v>2</v>
      </c>
      <c r="AG3" s="72"/>
      <c r="AH3" s="72"/>
      <c r="AI3" s="73"/>
      <c r="AK3" s="71">
        <v>2</v>
      </c>
      <c r="AL3" s="72"/>
      <c r="AM3" s="72"/>
      <c r="AN3" s="73"/>
    </row>
    <row r="4" spans="1:40" x14ac:dyDescent="0.25">
      <c r="A4" s="79" t="s">
        <v>684</v>
      </c>
      <c r="B4">
        <v>4</v>
      </c>
      <c r="D4">
        <v>21</v>
      </c>
      <c r="E4">
        <v>22</v>
      </c>
      <c r="F4">
        <v>23</v>
      </c>
      <c r="G4">
        <v>24</v>
      </c>
      <c r="H4">
        <v>25</v>
      </c>
      <c r="I4">
        <v>26</v>
      </c>
      <c r="J4">
        <v>27</v>
      </c>
      <c r="K4">
        <v>28</v>
      </c>
      <c r="L4">
        <v>29</v>
      </c>
      <c r="M4">
        <v>30</v>
      </c>
      <c r="P4" s="71">
        <v>3</v>
      </c>
      <c r="Q4" s="72"/>
      <c r="R4" s="72"/>
      <c r="S4" s="73"/>
      <c r="T4" s="72"/>
      <c r="U4" s="71">
        <v>3</v>
      </c>
      <c r="V4" s="72"/>
      <c r="W4" s="72"/>
      <c r="X4" s="73"/>
      <c r="Z4" s="71">
        <v>3</v>
      </c>
      <c r="AA4" s="72"/>
      <c r="AB4" s="72"/>
      <c r="AC4" s="73"/>
      <c r="AF4" s="71">
        <v>3</v>
      </c>
      <c r="AG4" s="72"/>
      <c r="AH4" s="72"/>
      <c r="AI4" s="73"/>
      <c r="AK4" s="71">
        <v>3</v>
      </c>
      <c r="AL4" s="72"/>
      <c r="AM4" s="72"/>
      <c r="AN4" s="73"/>
    </row>
    <row r="5" spans="1:40" x14ac:dyDescent="0.25">
      <c r="A5" s="79" t="s">
        <v>682</v>
      </c>
      <c r="B5">
        <v>5</v>
      </c>
      <c r="D5">
        <v>31</v>
      </c>
      <c r="E5">
        <v>32</v>
      </c>
      <c r="F5">
        <v>33</v>
      </c>
      <c r="G5">
        <v>34</v>
      </c>
      <c r="H5">
        <v>35</v>
      </c>
      <c r="I5">
        <v>36</v>
      </c>
      <c r="J5">
        <v>37</v>
      </c>
      <c r="K5">
        <v>38</v>
      </c>
      <c r="L5">
        <v>39</v>
      </c>
      <c r="M5">
        <v>40</v>
      </c>
      <c r="P5" s="71">
        <v>4</v>
      </c>
      <c r="Q5" s="72"/>
      <c r="R5" s="72"/>
      <c r="S5" s="73"/>
      <c r="T5" s="72"/>
      <c r="U5" s="71">
        <v>4</v>
      </c>
      <c r="V5" s="72"/>
      <c r="W5" s="72"/>
      <c r="X5" s="73"/>
      <c r="Z5" s="71">
        <v>4</v>
      </c>
      <c r="AA5" s="72"/>
      <c r="AB5" s="72"/>
      <c r="AC5" s="73"/>
      <c r="AF5" s="71">
        <v>4</v>
      </c>
      <c r="AG5" s="72"/>
      <c r="AH5" s="72"/>
      <c r="AI5" s="73"/>
      <c r="AK5" s="71">
        <v>4</v>
      </c>
      <c r="AL5" s="72"/>
      <c r="AM5" s="72"/>
      <c r="AN5" s="73"/>
    </row>
    <row r="6" spans="1:40" x14ac:dyDescent="0.25">
      <c r="A6">
        <f>I1</f>
        <v>0</v>
      </c>
      <c r="B6">
        <v>6</v>
      </c>
      <c r="D6">
        <v>41</v>
      </c>
      <c r="E6">
        <v>42</v>
      </c>
      <c r="F6">
        <v>43</v>
      </c>
      <c r="G6">
        <v>44</v>
      </c>
      <c r="H6">
        <v>45</v>
      </c>
      <c r="I6">
        <v>46</v>
      </c>
      <c r="J6">
        <v>47</v>
      </c>
      <c r="K6">
        <v>48</v>
      </c>
      <c r="L6">
        <v>49</v>
      </c>
      <c r="M6">
        <v>50</v>
      </c>
      <c r="P6" s="71">
        <v>5</v>
      </c>
      <c r="Q6" s="72"/>
      <c r="R6" s="72"/>
      <c r="S6" s="73"/>
      <c r="T6" s="72"/>
      <c r="U6" s="71">
        <v>5</v>
      </c>
      <c r="V6" s="72"/>
      <c r="W6" s="72"/>
      <c r="X6" s="73"/>
      <c r="Z6" s="71">
        <v>5</v>
      </c>
      <c r="AA6" s="72"/>
      <c r="AB6" s="72"/>
      <c r="AC6" s="73"/>
      <c r="AF6" s="71">
        <v>5</v>
      </c>
      <c r="AG6" s="72"/>
      <c r="AH6" s="72"/>
      <c r="AI6" s="73"/>
      <c r="AK6" s="71">
        <v>5</v>
      </c>
      <c r="AL6" s="72"/>
      <c r="AM6" s="72"/>
      <c r="AN6" s="73"/>
    </row>
    <row r="7" spans="1:40" x14ac:dyDescent="0.25">
      <c r="A7">
        <f>J1</f>
        <v>0</v>
      </c>
      <c r="B7">
        <v>7</v>
      </c>
      <c r="P7" s="71">
        <v>6</v>
      </c>
      <c r="Q7" s="72"/>
      <c r="R7" s="72"/>
      <c r="S7" s="73"/>
      <c r="T7" s="72"/>
      <c r="U7" s="71">
        <v>6</v>
      </c>
      <c r="V7" s="72"/>
      <c r="W7" s="72"/>
      <c r="X7" s="73"/>
      <c r="Z7" s="71">
        <v>6</v>
      </c>
      <c r="AA7" s="72"/>
      <c r="AB7" s="72"/>
      <c r="AC7" s="73"/>
      <c r="AF7" s="71">
        <v>6</v>
      </c>
      <c r="AG7" s="72"/>
      <c r="AH7" s="72"/>
      <c r="AI7" s="73"/>
      <c r="AK7" s="71">
        <v>6</v>
      </c>
      <c r="AL7" s="72"/>
      <c r="AM7" s="72"/>
      <c r="AN7" s="73"/>
    </row>
    <row r="8" spans="1:40" x14ac:dyDescent="0.25">
      <c r="A8">
        <f>K1</f>
        <v>0</v>
      </c>
      <c r="B8">
        <v>8</v>
      </c>
      <c r="D8" t="s">
        <v>699</v>
      </c>
      <c r="P8" s="71">
        <v>7</v>
      </c>
      <c r="Q8" s="72"/>
      <c r="R8" s="72"/>
      <c r="S8" s="73"/>
      <c r="T8" s="72"/>
      <c r="U8" s="71">
        <v>7</v>
      </c>
      <c r="V8" s="72"/>
      <c r="W8" s="72"/>
      <c r="X8" s="73"/>
      <c r="Z8" s="71">
        <v>7</v>
      </c>
      <c r="AA8" s="72"/>
      <c r="AB8" s="72"/>
      <c r="AC8" s="73"/>
      <c r="AF8" s="71">
        <v>7</v>
      </c>
      <c r="AG8" s="72"/>
      <c r="AH8" s="72"/>
      <c r="AI8" s="73"/>
      <c r="AK8" s="71">
        <v>7</v>
      </c>
      <c r="AL8" s="72"/>
      <c r="AM8" s="72"/>
      <c r="AN8" s="73"/>
    </row>
    <row r="9" spans="1:40" x14ac:dyDescent="0.25">
      <c r="B9">
        <v>9</v>
      </c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P9" s="71">
        <v>8</v>
      </c>
      <c r="Q9" s="72"/>
      <c r="R9" s="72"/>
      <c r="S9" s="73"/>
      <c r="T9" s="72"/>
      <c r="U9" s="71">
        <v>8</v>
      </c>
      <c r="V9" s="72"/>
      <c r="W9" s="72"/>
      <c r="X9" s="73"/>
      <c r="Z9" s="71">
        <v>8</v>
      </c>
      <c r="AA9" s="72"/>
      <c r="AB9" s="72"/>
      <c r="AC9" s="73"/>
      <c r="AF9" s="71">
        <v>8</v>
      </c>
      <c r="AG9" s="72"/>
      <c r="AH9" s="72"/>
      <c r="AI9" s="73"/>
      <c r="AK9" s="71">
        <v>8</v>
      </c>
      <c r="AL9" s="72"/>
      <c r="AM9" s="72"/>
      <c r="AN9" s="73"/>
    </row>
    <row r="10" spans="1:40" x14ac:dyDescent="0.25">
      <c r="B10">
        <v>10</v>
      </c>
      <c r="D10">
        <v>11</v>
      </c>
      <c r="E10">
        <v>12</v>
      </c>
      <c r="F10">
        <v>13</v>
      </c>
      <c r="G10">
        <v>14</v>
      </c>
      <c r="H10">
        <v>15</v>
      </c>
      <c r="I10">
        <v>16</v>
      </c>
      <c r="J10">
        <v>17</v>
      </c>
      <c r="K10">
        <v>18</v>
      </c>
      <c r="L10">
        <v>19</v>
      </c>
      <c r="M10">
        <v>20</v>
      </c>
      <c r="P10" s="71">
        <v>9</v>
      </c>
      <c r="Q10" s="72"/>
      <c r="R10" s="72"/>
      <c r="S10" s="73"/>
      <c r="T10" s="72"/>
      <c r="U10" s="71">
        <v>9</v>
      </c>
      <c r="V10" s="72"/>
      <c r="W10" s="72"/>
      <c r="X10" s="73"/>
      <c r="Z10" s="71">
        <v>9</v>
      </c>
      <c r="AA10" s="72"/>
      <c r="AB10" s="72"/>
      <c r="AC10" s="73"/>
      <c r="AF10" s="71">
        <v>9</v>
      </c>
      <c r="AG10" s="72"/>
      <c r="AH10" s="72"/>
      <c r="AI10" s="73"/>
      <c r="AK10" s="71">
        <v>9</v>
      </c>
      <c r="AL10" s="72"/>
      <c r="AM10" s="72"/>
      <c r="AN10" s="73"/>
    </row>
    <row r="11" spans="1:40" x14ac:dyDescent="0.25">
      <c r="B11">
        <v>11</v>
      </c>
      <c r="D11">
        <v>21</v>
      </c>
      <c r="E11">
        <v>22</v>
      </c>
      <c r="F11">
        <v>23</v>
      </c>
      <c r="G11">
        <v>24</v>
      </c>
      <c r="H11">
        <v>25</v>
      </c>
      <c r="I11">
        <v>26</v>
      </c>
      <c r="J11">
        <v>27</v>
      </c>
      <c r="K11">
        <v>28</v>
      </c>
      <c r="L11">
        <v>29</v>
      </c>
      <c r="M11">
        <v>30</v>
      </c>
      <c r="P11" s="71">
        <v>10</v>
      </c>
      <c r="Q11" s="72"/>
      <c r="R11" s="72"/>
      <c r="S11" s="73"/>
      <c r="T11" s="72"/>
      <c r="U11" s="71">
        <v>10</v>
      </c>
      <c r="V11" s="72"/>
      <c r="W11" s="72"/>
      <c r="X11" s="73"/>
      <c r="Z11" s="71">
        <v>10</v>
      </c>
      <c r="AA11" s="72"/>
      <c r="AB11" s="72"/>
      <c r="AC11" s="73"/>
      <c r="AF11" s="71">
        <v>10</v>
      </c>
      <c r="AG11" s="72"/>
      <c r="AH11" s="72"/>
      <c r="AI11" s="73"/>
      <c r="AK11" s="71">
        <v>10</v>
      </c>
      <c r="AL11" s="72"/>
      <c r="AM11" s="72"/>
      <c r="AN11" s="73"/>
    </row>
    <row r="12" spans="1:40" ht="18" x14ac:dyDescent="0.25">
      <c r="B12">
        <v>12</v>
      </c>
      <c r="D12">
        <v>31</v>
      </c>
      <c r="E12">
        <v>32</v>
      </c>
      <c r="F12">
        <v>33</v>
      </c>
      <c r="G12">
        <v>34</v>
      </c>
      <c r="H12">
        <v>35</v>
      </c>
      <c r="I12">
        <v>36</v>
      </c>
      <c r="J12">
        <v>37</v>
      </c>
      <c r="K12">
        <v>38</v>
      </c>
      <c r="L12">
        <v>39</v>
      </c>
      <c r="M12">
        <v>40</v>
      </c>
      <c r="P12" s="71">
        <v>11</v>
      </c>
      <c r="Q12" s="72"/>
      <c r="R12" s="72"/>
      <c r="S12" s="73"/>
      <c r="T12" s="72"/>
      <c r="U12" s="71">
        <v>11</v>
      </c>
      <c r="V12" s="78" t="s">
        <v>32</v>
      </c>
      <c r="W12" t="s">
        <v>31</v>
      </c>
      <c r="X12" s="77">
        <v>43305.553854166668</v>
      </c>
      <c r="Z12" s="71">
        <v>11</v>
      </c>
      <c r="AA12" s="72"/>
      <c r="AB12" s="72"/>
      <c r="AC12" s="73"/>
      <c r="AF12" s="71">
        <v>11</v>
      </c>
      <c r="AG12" s="72"/>
      <c r="AH12" s="72"/>
      <c r="AI12" s="73"/>
      <c r="AK12" s="71">
        <v>11</v>
      </c>
      <c r="AL12" s="72"/>
      <c r="AM12" s="72"/>
      <c r="AN12" s="73"/>
    </row>
    <row r="13" spans="1:40" x14ac:dyDescent="0.25">
      <c r="B13">
        <v>13</v>
      </c>
      <c r="D13">
        <v>41</v>
      </c>
      <c r="E13">
        <v>42</v>
      </c>
      <c r="F13">
        <v>43</v>
      </c>
      <c r="G13">
        <v>44</v>
      </c>
      <c r="H13">
        <v>45</v>
      </c>
      <c r="I13">
        <v>46</v>
      </c>
      <c r="J13">
        <v>47</v>
      </c>
      <c r="K13">
        <v>48</v>
      </c>
      <c r="L13">
        <v>49</v>
      </c>
      <c r="M13">
        <v>50</v>
      </c>
      <c r="P13" s="71">
        <v>12</v>
      </c>
      <c r="Q13" s="72"/>
      <c r="R13" s="72"/>
      <c r="S13" s="73"/>
      <c r="T13" s="72"/>
      <c r="U13" s="71">
        <v>12</v>
      </c>
      <c r="V13" s="72"/>
      <c r="W13" s="72"/>
      <c r="X13" s="73"/>
      <c r="Z13" s="71">
        <v>12</v>
      </c>
      <c r="AA13" s="72"/>
      <c r="AB13" s="72"/>
      <c r="AC13" s="73"/>
      <c r="AF13" s="71">
        <v>12</v>
      </c>
      <c r="AG13" s="72"/>
      <c r="AH13" s="72"/>
      <c r="AI13" s="73"/>
      <c r="AK13" s="71">
        <v>12</v>
      </c>
      <c r="AL13" s="72"/>
      <c r="AM13" s="72"/>
      <c r="AN13" s="73"/>
    </row>
    <row r="14" spans="1:40" x14ac:dyDescent="0.25">
      <c r="B14">
        <v>14</v>
      </c>
      <c r="P14" s="71">
        <v>13</v>
      </c>
      <c r="Q14" s="72"/>
      <c r="R14" s="72"/>
      <c r="S14" s="73"/>
      <c r="T14" s="72"/>
      <c r="U14" s="71">
        <v>13</v>
      </c>
      <c r="Z14" s="71">
        <v>13</v>
      </c>
      <c r="AA14" s="72"/>
      <c r="AB14" s="72"/>
      <c r="AC14" s="73"/>
      <c r="AF14" s="71">
        <v>13</v>
      </c>
      <c r="AG14" s="72"/>
      <c r="AH14" s="72"/>
      <c r="AI14" s="73"/>
      <c r="AK14" s="71">
        <v>13</v>
      </c>
      <c r="AL14" s="72"/>
      <c r="AM14" s="72"/>
      <c r="AN14" s="73"/>
    </row>
    <row r="15" spans="1:40" ht="18" x14ac:dyDescent="0.25">
      <c r="B15">
        <v>15</v>
      </c>
      <c r="D15" t="s">
        <v>700</v>
      </c>
      <c r="P15" s="71">
        <v>14</v>
      </c>
      <c r="Q15" s="72"/>
      <c r="R15" s="72"/>
      <c r="S15" s="73"/>
      <c r="T15" s="72"/>
      <c r="U15" s="71">
        <v>14</v>
      </c>
      <c r="V15" s="78" t="s">
        <v>38</v>
      </c>
      <c r="W15" t="s">
        <v>37</v>
      </c>
      <c r="X15" s="77">
        <v>43305.553854166668</v>
      </c>
      <c r="Z15" s="71">
        <v>14</v>
      </c>
      <c r="AA15" s="72"/>
      <c r="AB15" s="72"/>
      <c r="AC15" s="73"/>
      <c r="AF15" s="71">
        <v>14</v>
      </c>
      <c r="AG15" s="72"/>
      <c r="AH15" s="72"/>
      <c r="AI15" s="73"/>
      <c r="AK15" s="71">
        <v>14</v>
      </c>
      <c r="AL15" s="72"/>
      <c r="AM15" s="72"/>
      <c r="AN15" s="73"/>
    </row>
    <row r="16" spans="1:40" x14ac:dyDescent="0.25">
      <c r="B16">
        <v>16</v>
      </c>
      <c r="E16">
        <v>1</v>
      </c>
      <c r="F16">
        <v>2</v>
      </c>
      <c r="G16">
        <v>3</v>
      </c>
      <c r="H16">
        <v>4</v>
      </c>
      <c r="I16">
        <v>5</v>
      </c>
      <c r="J16">
        <v>6</v>
      </c>
      <c r="K16">
        <v>7</v>
      </c>
      <c r="L16">
        <v>8</v>
      </c>
      <c r="M16">
        <v>9</v>
      </c>
      <c r="P16" s="71">
        <v>15</v>
      </c>
      <c r="Q16" s="72"/>
      <c r="R16" s="72"/>
      <c r="S16" s="73"/>
      <c r="T16" s="72"/>
      <c r="U16" s="71">
        <v>15</v>
      </c>
      <c r="V16" s="72"/>
      <c r="W16" s="72"/>
      <c r="X16" s="73"/>
      <c r="Z16" s="71">
        <v>15</v>
      </c>
      <c r="AA16" s="72"/>
      <c r="AB16" s="72"/>
      <c r="AC16" s="73"/>
      <c r="AF16" s="71">
        <v>15</v>
      </c>
      <c r="AG16" s="72"/>
      <c r="AH16" s="72"/>
      <c r="AI16" s="73"/>
      <c r="AK16" s="71">
        <v>15</v>
      </c>
      <c r="AL16" s="72"/>
      <c r="AM16" s="72"/>
      <c r="AN16" s="73"/>
    </row>
    <row r="17" spans="2:40" x14ac:dyDescent="0.25">
      <c r="B17">
        <v>17</v>
      </c>
      <c r="D17">
        <v>11</v>
      </c>
      <c r="E17">
        <v>12</v>
      </c>
      <c r="F17">
        <v>13</v>
      </c>
      <c r="G17">
        <v>14</v>
      </c>
      <c r="H17">
        <v>15</v>
      </c>
      <c r="I17">
        <v>16</v>
      </c>
      <c r="J17">
        <v>17</v>
      </c>
      <c r="K17">
        <v>18</v>
      </c>
      <c r="L17">
        <v>19</v>
      </c>
      <c r="M17">
        <v>20</v>
      </c>
      <c r="P17" s="71">
        <v>16</v>
      </c>
      <c r="Q17" s="72"/>
      <c r="R17" s="72"/>
      <c r="S17" s="73"/>
      <c r="T17" s="72"/>
      <c r="U17" s="71">
        <v>16</v>
      </c>
      <c r="V17" s="72"/>
      <c r="W17" s="72"/>
      <c r="X17" s="73"/>
      <c r="Z17" s="71">
        <v>16</v>
      </c>
      <c r="AA17" s="72"/>
      <c r="AB17" s="72"/>
      <c r="AC17" s="73"/>
      <c r="AF17" s="71">
        <v>16</v>
      </c>
      <c r="AG17" s="72"/>
      <c r="AH17" s="72"/>
      <c r="AI17" s="73"/>
      <c r="AK17" s="71">
        <v>16</v>
      </c>
      <c r="AL17" s="72"/>
      <c r="AM17" s="72"/>
      <c r="AN17" s="73"/>
    </row>
    <row r="18" spans="2:40" x14ac:dyDescent="0.25">
      <c r="B18">
        <v>18</v>
      </c>
      <c r="D18">
        <v>21</v>
      </c>
      <c r="E18">
        <v>22</v>
      </c>
      <c r="F18">
        <v>23</v>
      </c>
      <c r="G18">
        <v>24</v>
      </c>
      <c r="H18">
        <v>25</v>
      </c>
      <c r="I18">
        <v>26</v>
      </c>
      <c r="J18">
        <v>27</v>
      </c>
      <c r="K18">
        <v>28</v>
      </c>
      <c r="L18">
        <v>29</v>
      </c>
      <c r="M18">
        <v>30</v>
      </c>
      <c r="P18" s="71">
        <v>17</v>
      </c>
      <c r="Q18" s="72"/>
      <c r="R18" s="72"/>
      <c r="S18" s="73"/>
      <c r="T18" s="72"/>
      <c r="U18" s="71">
        <v>17</v>
      </c>
      <c r="V18" s="72"/>
      <c r="W18" s="72"/>
      <c r="X18" s="73"/>
      <c r="Z18" s="71">
        <v>17</v>
      </c>
      <c r="AA18" s="72"/>
      <c r="AB18" s="72"/>
      <c r="AC18" s="73"/>
      <c r="AF18" s="71">
        <v>17</v>
      </c>
      <c r="AG18" s="72"/>
      <c r="AH18" s="72"/>
      <c r="AI18" s="73"/>
      <c r="AK18" s="71">
        <v>17</v>
      </c>
      <c r="AL18" s="72"/>
      <c r="AM18" s="72"/>
      <c r="AN18" s="73"/>
    </row>
    <row r="19" spans="2:40" x14ac:dyDescent="0.25">
      <c r="B19">
        <v>19</v>
      </c>
      <c r="D19">
        <v>31</v>
      </c>
      <c r="E19">
        <v>32</v>
      </c>
      <c r="F19">
        <v>33</v>
      </c>
      <c r="G19">
        <v>34</v>
      </c>
      <c r="H19">
        <v>35</v>
      </c>
      <c r="I19">
        <v>36</v>
      </c>
      <c r="J19">
        <v>37</v>
      </c>
      <c r="K19">
        <v>38</v>
      </c>
      <c r="L19">
        <v>39</v>
      </c>
      <c r="M19">
        <v>40</v>
      </c>
      <c r="P19" s="71">
        <v>18</v>
      </c>
      <c r="Q19" s="72"/>
      <c r="R19" s="72"/>
      <c r="S19" s="73"/>
      <c r="T19" s="72"/>
      <c r="U19" s="71">
        <v>18</v>
      </c>
      <c r="V19" s="72"/>
      <c r="W19" s="72"/>
      <c r="X19" s="73"/>
      <c r="Z19" s="71">
        <v>18</v>
      </c>
      <c r="AA19" s="72"/>
      <c r="AB19" s="72"/>
      <c r="AC19" s="73"/>
      <c r="AF19" s="71">
        <v>18</v>
      </c>
      <c r="AG19" s="72"/>
      <c r="AH19" s="72"/>
      <c r="AI19" s="73"/>
      <c r="AK19" s="71">
        <v>18</v>
      </c>
      <c r="AL19" s="72"/>
      <c r="AM19" s="72"/>
      <c r="AN19" s="73"/>
    </row>
    <row r="20" spans="2:40" x14ac:dyDescent="0.25">
      <c r="B20">
        <v>20</v>
      </c>
      <c r="P20" s="71">
        <v>19</v>
      </c>
      <c r="Q20" s="72"/>
      <c r="R20" s="72"/>
      <c r="S20" s="73"/>
      <c r="T20" s="72"/>
      <c r="U20" s="71">
        <v>19</v>
      </c>
      <c r="V20" s="72"/>
      <c r="W20" s="72"/>
      <c r="X20" s="73"/>
      <c r="Z20" s="71">
        <v>19</v>
      </c>
      <c r="AA20" s="72"/>
      <c r="AB20" s="72"/>
      <c r="AC20" s="73"/>
      <c r="AF20" s="71">
        <v>19</v>
      </c>
      <c r="AG20" s="72"/>
      <c r="AH20" s="72"/>
      <c r="AI20" s="73"/>
      <c r="AK20" s="71">
        <v>19</v>
      </c>
      <c r="AL20" s="72"/>
      <c r="AM20" s="72"/>
      <c r="AN20" s="73"/>
    </row>
    <row r="21" spans="2:40" x14ac:dyDescent="0.25">
      <c r="B21">
        <v>21</v>
      </c>
      <c r="P21" s="71">
        <v>20</v>
      </c>
      <c r="Q21" s="72"/>
      <c r="R21" s="72"/>
      <c r="S21" s="73"/>
      <c r="T21" s="72"/>
      <c r="U21" s="71">
        <v>20</v>
      </c>
      <c r="V21" s="72"/>
      <c r="W21" s="72"/>
      <c r="X21" s="73"/>
      <c r="Z21" s="71">
        <v>20</v>
      </c>
      <c r="AA21" s="72"/>
      <c r="AB21" s="72"/>
      <c r="AC21" s="73"/>
      <c r="AF21" s="71">
        <v>20</v>
      </c>
      <c r="AG21" s="72"/>
      <c r="AH21" s="72"/>
      <c r="AI21" s="73"/>
      <c r="AK21" s="71">
        <v>20</v>
      </c>
      <c r="AL21" s="72"/>
      <c r="AM21" s="72"/>
      <c r="AN21" s="73"/>
    </row>
    <row r="22" spans="2:40" x14ac:dyDescent="0.25">
      <c r="B22">
        <v>22</v>
      </c>
      <c r="D22" t="s">
        <v>684</v>
      </c>
      <c r="P22" s="71">
        <v>21</v>
      </c>
      <c r="Q22" s="72"/>
      <c r="R22" s="72"/>
      <c r="S22" s="73"/>
      <c r="T22" s="72"/>
      <c r="U22" s="71">
        <v>21</v>
      </c>
      <c r="V22" s="72"/>
      <c r="W22" s="72"/>
      <c r="X22" s="73"/>
      <c r="Z22" s="71">
        <v>21</v>
      </c>
      <c r="AA22" s="72"/>
      <c r="AB22" s="72"/>
      <c r="AC22" s="73"/>
      <c r="AF22" s="71">
        <v>21</v>
      </c>
      <c r="AG22" s="72"/>
      <c r="AH22" s="72"/>
      <c r="AI22" s="73"/>
      <c r="AK22" s="71">
        <v>21</v>
      </c>
      <c r="AL22" s="72"/>
      <c r="AM22" s="72"/>
      <c r="AN22" s="73"/>
    </row>
    <row r="23" spans="2:40" x14ac:dyDescent="0.25">
      <c r="B23">
        <v>23</v>
      </c>
      <c r="E23">
        <v>1</v>
      </c>
      <c r="F23">
        <v>2</v>
      </c>
      <c r="G23">
        <v>3</v>
      </c>
      <c r="H23">
        <v>4</v>
      </c>
      <c r="I23">
        <v>5</v>
      </c>
      <c r="J23">
        <v>6</v>
      </c>
      <c r="K23">
        <v>7</v>
      </c>
      <c r="L23">
        <v>8</v>
      </c>
      <c r="M23">
        <v>9</v>
      </c>
      <c r="P23" s="71">
        <v>22</v>
      </c>
      <c r="Q23" s="72"/>
      <c r="R23" s="72"/>
      <c r="S23" s="73"/>
      <c r="T23" s="72"/>
      <c r="U23" s="71">
        <v>22</v>
      </c>
      <c r="V23" s="72"/>
      <c r="W23" s="72"/>
      <c r="X23" s="73"/>
      <c r="Z23" s="71">
        <v>22</v>
      </c>
      <c r="AA23" s="72"/>
      <c r="AB23" s="72"/>
      <c r="AC23" s="73"/>
      <c r="AF23" s="71">
        <v>22</v>
      </c>
      <c r="AG23" s="72"/>
      <c r="AH23" s="72"/>
      <c r="AI23" s="73"/>
      <c r="AK23" s="71">
        <v>22</v>
      </c>
      <c r="AL23" s="72"/>
      <c r="AM23" s="72"/>
      <c r="AN23" s="73"/>
    </row>
    <row r="24" spans="2:40" x14ac:dyDescent="0.25">
      <c r="B24">
        <v>24</v>
      </c>
      <c r="D24">
        <v>11</v>
      </c>
      <c r="E24">
        <v>12</v>
      </c>
      <c r="F24">
        <v>13</v>
      </c>
      <c r="G24">
        <v>14</v>
      </c>
      <c r="H24">
        <v>15</v>
      </c>
      <c r="I24">
        <v>16</v>
      </c>
      <c r="J24">
        <v>17</v>
      </c>
      <c r="K24">
        <v>18</v>
      </c>
      <c r="L24">
        <v>19</v>
      </c>
      <c r="M24">
        <v>20</v>
      </c>
      <c r="P24" s="71">
        <v>23</v>
      </c>
      <c r="Q24" s="72"/>
      <c r="R24" s="72"/>
      <c r="S24" s="73"/>
      <c r="T24" s="72"/>
      <c r="U24" s="71">
        <v>23</v>
      </c>
      <c r="V24" s="72"/>
      <c r="W24" s="72"/>
      <c r="X24" s="73"/>
      <c r="Z24" s="71">
        <v>23</v>
      </c>
      <c r="AA24" s="72"/>
      <c r="AB24" s="72"/>
      <c r="AC24" s="73"/>
      <c r="AF24" s="71">
        <v>23</v>
      </c>
      <c r="AG24" s="72"/>
      <c r="AH24" s="72"/>
      <c r="AI24" s="73"/>
      <c r="AK24" s="71">
        <v>23</v>
      </c>
      <c r="AL24" s="72"/>
      <c r="AM24" s="72"/>
      <c r="AN24" s="73"/>
    </row>
    <row r="25" spans="2:40" x14ac:dyDescent="0.25">
      <c r="B25">
        <v>25</v>
      </c>
      <c r="D25">
        <v>21</v>
      </c>
      <c r="E25">
        <v>22</v>
      </c>
      <c r="F25">
        <v>23</v>
      </c>
      <c r="G25">
        <v>24</v>
      </c>
      <c r="H25">
        <v>25</v>
      </c>
      <c r="I25">
        <v>26</v>
      </c>
      <c r="J25">
        <v>27</v>
      </c>
      <c r="K25">
        <v>28</v>
      </c>
      <c r="L25">
        <v>29</v>
      </c>
      <c r="M25">
        <v>30</v>
      </c>
      <c r="P25" s="71">
        <v>24</v>
      </c>
      <c r="Q25" s="72"/>
      <c r="R25" s="72"/>
      <c r="S25" s="73"/>
      <c r="T25" s="72"/>
      <c r="U25" s="71">
        <v>24</v>
      </c>
      <c r="V25" s="72"/>
      <c r="W25" s="72"/>
      <c r="X25" s="73"/>
      <c r="Z25" s="71">
        <v>24</v>
      </c>
      <c r="AA25" s="72"/>
      <c r="AB25" s="72"/>
      <c r="AC25" s="73"/>
      <c r="AF25" s="71">
        <v>24</v>
      </c>
      <c r="AG25" s="72"/>
      <c r="AH25" s="72"/>
      <c r="AI25" s="73"/>
      <c r="AK25" s="71">
        <v>24</v>
      </c>
      <c r="AL25" s="72"/>
      <c r="AM25" s="72"/>
      <c r="AN25" s="73"/>
    </row>
    <row r="26" spans="2:40" x14ac:dyDescent="0.25">
      <c r="B26">
        <v>26</v>
      </c>
      <c r="D26">
        <v>31</v>
      </c>
      <c r="E26">
        <v>32</v>
      </c>
      <c r="F26">
        <v>33</v>
      </c>
      <c r="G26">
        <v>34</v>
      </c>
      <c r="H26">
        <v>35</v>
      </c>
      <c r="I26">
        <v>36</v>
      </c>
      <c r="J26">
        <v>37</v>
      </c>
      <c r="K26">
        <v>38</v>
      </c>
      <c r="L26">
        <v>39</v>
      </c>
      <c r="M26">
        <v>40</v>
      </c>
      <c r="P26" s="71">
        <v>25</v>
      </c>
      <c r="Q26" s="72"/>
      <c r="R26" s="72"/>
      <c r="S26" s="73"/>
      <c r="T26" s="72"/>
      <c r="U26" s="71">
        <v>25</v>
      </c>
      <c r="V26" s="72"/>
      <c r="W26" s="72"/>
      <c r="X26" s="73"/>
      <c r="Z26" s="71">
        <v>25</v>
      </c>
      <c r="AA26" s="72"/>
      <c r="AB26" s="72"/>
      <c r="AC26" s="73"/>
      <c r="AF26" s="71">
        <v>25</v>
      </c>
      <c r="AG26" s="72"/>
      <c r="AH26" s="72"/>
      <c r="AI26" s="73"/>
      <c r="AK26" s="71">
        <v>25</v>
      </c>
      <c r="AL26" s="72"/>
      <c r="AM26" s="72"/>
      <c r="AN26" s="73"/>
    </row>
    <row r="27" spans="2:40" x14ac:dyDescent="0.25">
      <c r="B27">
        <v>27</v>
      </c>
      <c r="D27">
        <v>27</v>
      </c>
      <c r="E27">
        <v>27</v>
      </c>
      <c r="F27">
        <v>27</v>
      </c>
      <c r="G27">
        <v>27</v>
      </c>
      <c r="H27">
        <v>27</v>
      </c>
      <c r="P27" s="71">
        <v>26</v>
      </c>
      <c r="Q27" s="72"/>
      <c r="R27" s="72"/>
      <c r="S27" s="73"/>
      <c r="T27" s="72"/>
      <c r="U27" s="71">
        <v>26</v>
      </c>
      <c r="V27" s="72"/>
      <c r="W27" s="72"/>
      <c r="X27" s="73"/>
      <c r="Z27" s="71">
        <v>26</v>
      </c>
      <c r="AA27" s="72"/>
      <c r="AB27" s="72"/>
      <c r="AC27" s="73"/>
      <c r="AF27" s="71">
        <v>26</v>
      </c>
      <c r="AG27" s="72"/>
      <c r="AH27" s="72"/>
      <c r="AI27" s="73"/>
      <c r="AK27" s="71">
        <v>26</v>
      </c>
      <c r="AL27" s="72"/>
      <c r="AM27" s="72"/>
      <c r="AN27" s="73"/>
    </row>
    <row r="28" spans="2:40" x14ac:dyDescent="0.25">
      <c r="B28">
        <v>28</v>
      </c>
      <c r="D28" t="s">
        <v>682</v>
      </c>
      <c r="P28" s="71">
        <v>27</v>
      </c>
      <c r="Q28" s="72"/>
      <c r="R28" s="72"/>
      <c r="S28" s="73"/>
      <c r="T28" s="72"/>
      <c r="U28" s="71">
        <v>27</v>
      </c>
      <c r="V28" s="72"/>
      <c r="W28" s="72"/>
      <c r="X28" s="73"/>
      <c r="Z28" s="71">
        <v>27</v>
      </c>
      <c r="AA28" s="72"/>
      <c r="AB28" s="72"/>
      <c r="AC28" s="73"/>
      <c r="AF28" s="71">
        <v>27</v>
      </c>
      <c r="AG28" s="72"/>
      <c r="AH28" s="72"/>
      <c r="AI28" s="73"/>
      <c r="AK28" s="71">
        <v>27</v>
      </c>
      <c r="AL28" s="72"/>
      <c r="AM28" s="72"/>
      <c r="AN28" s="73"/>
    </row>
    <row r="29" spans="2:40" x14ac:dyDescent="0.25">
      <c r="B29">
        <v>29</v>
      </c>
      <c r="E29">
        <v>1</v>
      </c>
      <c r="F29">
        <v>2</v>
      </c>
      <c r="G29">
        <v>3</v>
      </c>
      <c r="H29">
        <v>4</v>
      </c>
      <c r="I29">
        <v>5</v>
      </c>
      <c r="J29">
        <v>6</v>
      </c>
      <c r="K29">
        <v>7</v>
      </c>
      <c r="L29">
        <v>8</v>
      </c>
      <c r="M29">
        <v>9</v>
      </c>
      <c r="P29" s="71">
        <v>28</v>
      </c>
      <c r="Q29" s="72"/>
      <c r="R29" s="72"/>
      <c r="S29" s="73"/>
      <c r="T29" s="72"/>
      <c r="U29" s="71">
        <v>28</v>
      </c>
      <c r="V29" s="72"/>
      <c r="W29" s="72"/>
      <c r="X29" s="73"/>
      <c r="Z29" s="71">
        <v>28</v>
      </c>
      <c r="AA29" s="72"/>
      <c r="AB29" s="72"/>
      <c r="AC29" s="73"/>
      <c r="AF29" s="71">
        <v>28</v>
      </c>
      <c r="AG29" s="72"/>
      <c r="AH29" s="72"/>
      <c r="AI29" s="73"/>
      <c r="AK29" s="71">
        <v>28</v>
      </c>
      <c r="AL29" s="72"/>
      <c r="AM29" s="72"/>
      <c r="AN29" s="73"/>
    </row>
    <row r="30" spans="2:40" x14ac:dyDescent="0.25">
      <c r="B30">
        <v>30</v>
      </c>
      <c r="D30">
        <v>11</v>
      </c>
      <c r="E30">
        <v>12</v>
      </c>
      <c r="F30">
        <v>13</v>
      </c>
      <c r="G30">
        <v>14</v>
      </c>
      <c r="H30">
        <v>15</v>
      </c>
      <c r="I30">
        <v>16</v>
      </c>
      <c r="J30">
        <v>17</v>
      </c>
      <c r="K30">
        <v>18</v>
      </c>
      <c r="L30">
        <v>19</v>
      </c>
      <c r="M30">
        <v>20</v>
      </c>
      <c r="P30" s="71">
        <v>29</v>
      </c>
      <c r="Q30" s="72"/>
      <c r="R30" s="72"/>
      <c r="S30" s="73"/>
      <c r="T30" s="72"/>
      <c r="U30" s="71">
        <v>29</v>
      </c>
      <c r="V30" s="72"/>
      <c r="W30" s="72"/>
      <c r="X30" s="73"/>
      <c r="Z30" s="71">
        <v>29</v>
      </c>
      <c r="AA30" s="72"/>
      <c r="AB30" s="72"/>
      <c r="AC30" s="73"/>
      <c r="AF30" s="71">
        <v>29</v>
      </c>
      <c r="AG30" s="72"/>
      <c r="AH30" s="72"/>
      <c r="AI30" s="73"/>
      <c r="AK30" s="71">
        <v>29</v>
      </c>
      <c r="AL30" s="72"/>
      <c r="AM30" s="72"/>
      <c r="AN30" s="73"/>
    </row>
    <row r="31" spans="2:40" x14ac:dyDescent="0.25">
      <c r="B31">
        <v>31</v>
      </c>
      <c r="D31">
        <v>21</v>
      </c>
      <c r="E31">
        <v>22</v>
      </c>
      <c r="F31">
        <v>23</v>
      </c>
      <c r="G31">
        <v>24</v>
      </c>
      <c r="H31">
        <v>25</v>
      </c>
      <c r="I31">
        <v>26</v>
      </c>
      <c r="J31">
        <v>27</v>
      </c>
      <c r="K31">
        <v>28</v>
      </c>
      <c r="L31">
        <v>29</v>
      </c>
      <c r="M31">
        <v>30</v>
      </c>
      <c r="P31" s="71">
        <v>30</v>
      </c>
      <c r="Q31" s="72"/>
      <c r="R31" s="72"/>
      <c r="S31" s="73"/>
      <c r="T31" s="72"/>
      <c r="U31" s="71">
        <v>30</v>
      </c>
      <c r="V31" s="72"/>
      <c r="W31" s="72"/>
      <c r="X31" s="73"/>
      <c r="Z31" s="71">
        <v>30</v>
      </c>
      <c r="AA31" s="72"/>
      <c r="AB31" s="72"/>
      <c r="AC31" s="73"/>
      <c r="AF31" s="71">
        <v>30</v>
      </c>
      <c r="AG31" s="72"/>
      <c r="AH31" s="72"/>
      <c r="AI31" s="73"/>
      <c r="AK31" s="71">
        <v>30</v>
      </c>
      <c r="AL31" s="72"/>
      <c r="AM31" s="72"/>
      <c r="AN31" s="73"/>
    </row>
    <row r="32" spans="2:40" x14ac:dyDescent="0.25">
      <c r="B32">
        <v>32</v>
      </c>
      <c r="D32">
        <v>31</v>
      </c>
      <c r="E32">
        <v>32</v>
      </c>
      <c r="F32">
        <v>33</v>
      </c>
      <c r="G32">
        <v>34</v>
      </c>
      <c r="H32">
        <v>35</v>
      </c>
      <c r="I32">
        <v>36</v>
      </c>
      <c r="J32">
        <v>37</v>
      </c>
      <c r="K32">
        <v>38</v>
      </c>
      <c r="L32">
        <v>39</v>
      </c>
      <c r="M32">
        <v>40</v>
      </c>
      <c r="P32" s="71">
        <v>31</v>
      </c>
      <c r="Q32" s="72"/>
      <c r="R32" s="72"/>
      <c r="S32" s="73"/>
      <c r="T32" s="72"/>
      <c r="U32" s="71">
        <v>31</v>
      </c>
      <c r="V32" s="72"/>
      <c r="W32" s="72"/>
      <c r="X32" s="73"/>
      <c r="Z32" s="71">
        <v>31</v>
      </c>
      <c r="AA32" s="72"/>
      <c r="AB32" s="72"/>
      <c r="AC32" s="73"/>
      <c r="AF32" s="71">
        <v>31</v>
      </c>
      <c r="AG32" s="72"/>
      <c r="AH32" s="72"/>
      <c r="AI32" s="73"/>
      <c r="AK32" s="71">
        <v>31</v>
      </c>
      <c r="AL32" s="72"/>
      <c r="AM32" s="72"/>
      <c r="AN32" s="73"/>
    </row>
    <row r="33" spans="2:40" x14ac:dyDescent="0.25">
      <c r="P33" s="71">
        <v>32</v>
      </c>
      <c r="Q33" s="72"/>
      <c r="R33" s="72"/>
      <c r="S33" s="73"/>
      <c r="T33" s="72"/>
      <c r="U33" s="71">
        <v>32</v>
      </c>
      <c r="V33" s="72"/>
      <c r="W33" s="72"/>
      <c r="X33" s="73"/>
      <c r="Z33" s="71">
        <v>32</v>
      </c>
      <c r="AA33" s="72"/>
      <c r="AB33" s="72"/>
      <c r="AC33" s="73"/>
      <c r="AF33" s="71">
        <v>32</v>
      </c>
      <c r="AG33" s="72"/>
      <c r="AH33" s="72"/>
      <c r="AI33" s="73"/>
      <c r="AK33" s="71">
        <v>32</v>
      </c>
      <c r="AL33" s="72"/>
      <c r="AM33" s="72"/>
      <c r="AN33" s="73"/>
    </row>
    <row r="34" spans="2:40" x14ac:dyDescent="0.25">
      <c r="P34" s="71">
        <v>33</v>
      </c>
      <c r="Q34" s="72"/>
      <c r="R34" s="72"/>
      <c r="S34" s="73"/>
      <c r="T34" s="72"/>
      <c r="U34" s="71">
        <v>33</v>
      </c>
      <c r="V34" s="72"/>
      <c r="W34" s="72"/>
      <c r="X34" s="73"/>
      <c r="Z34" s="71">
        <v>33</v>
      </c>
      <c r="AA34" s="72"/>
      <c r="AB34" s="72"/>
      <c r="AC34" s="73"/>
      <c r="AF34" s="71">
        <v>33</v>
      </c>
      <c r="AG34" s="72"/>
      <c r="AH34" s="72"/>
      <c r="AI34" s="73"/>
      <c r="AK34" s="71">
        <v>33</v>
      </c>
      <c r="AL34" s="72"/>
      <c r="AM34" s="72"/>
      <c r="AN34" s="73"/>
    </row>
    <row r="35" spans="2:40" x14ac:dyDescent="0.25">
      <c r="P35" s="71">
        <v>34</v>
      </c>
      <c r="Q35" s="72"/>
      <c r="R35" s="72"/>
      <c r="S35" s="73"/>
      <c r="T35" s="72"/>
      <c r="U35" s="71">
        <v>34</v>
      </c>
      <c r="V35" s="72"/>
      <c r="W35" s="72"/>
      <c r="X35" s="73"/>
      <c r="Z35" s="71">
        <v>34</v>
      </c>
      <c r="AA35" s="72"/>
      <c r="AB35" s="72"/>
      <c r="AC35" s="73"/>
      <c r="AF35" s="71">
        <v>34</v>
      </c>
      <c r="AG35" s="72"/>
      <c r="AH35" s="72"/>
      <c r="AI35" s="73"/>
      <c r="AK35" s="71">
        <v>34</v>
      </c>
      <c r="AL35" s="72"/>
      <c r="AM35" s="72"/>
      <c r="AN35" s="73"/>
    </row>
    <row r="36" spans="2:40" x14ac:dyDescent="0.25">
      <c r="P36" s="71">
        <v>35</v>
      </c>
      <c r="Q36" s="72"/>
      <c r="R36" s="72"/>
      <c r="S36" s="73"/>
      <c r="T36" s="72"/>
      <c r="U36" s="71">
        <v>35</v>
      </c>
      <c r="V36" s="72"/>
      <c r="W36" s="72"/>
      <c r="X36" s="73"/>
      <c r="Z36" s="71">
        <v>35</v>
      </c>
      <c r="AA36" s="72"/>
      <c r="AB36" s="72"/>
      <c r="AC36" s="73"/>
      <c r="AF36" s="71">
        <v>35</v>
      </c>
      <c r="AG36" s="72"/>
      <c r="AH36" s="72"/>
      <c r="AI36" s="73"/>
      <c r="AK36" s="71">
        <v>35</v>
      </c>
      <c r="AL36" s="72"/>
      <c r="AM36" s="72"/>
      <c r="AN36" s="73"/>
    </row>
    <row r="37" spans="2:40" x14ac:dyDescent="0.25">
      <c r="P37" s="71">
        <v>36</v>
      </c>
      <c r="Q37" s="72"/>
      <c r="R37" s="72"/>
      <c r="S37" s="73"/>
      <c r="T37" s="72"/>
      <c r="U37" s="71">
        <v>36</v>
      </c>
      <c r="V37" s="72"/>
      <c r="W37" s="72"/>
      <c r="X37" s="73"/>
      <c r="Z37" s="71">
        <v>36</v>
      </c>
      <c r="AA37" s="72"/>
      <c r="AB37" s="72"/>
      <c r="AC37" s="73"/>
      <c r="AF37" s="71">
        <v>36</v>
      </c>
      <c r="AG37" s="72"/>
      <c r="AH37" s="72"/>
      <c r="AI37" s="73"/>
      <c r="AK37" s="71">
        <v>36</v>
      </c>
      <c r="AL37" s="72"/>
      <c r="AM37" s="72"/>
      <c r="AN37" s="73"/>
    </row>
    <row r="38" spans="2:40" x14ac:dyDescent="0.25">
      <c r="P38" s="71">
        <v>37</v>
      </c>
      <c r="Q38" s="72"/>
      <c r="R38" s="72"/>
      <c r="S38" s="73"/>
      <c r="T38" s="72"/>
      <c r="U38" s="71">
        <v>37</v>
      </c>
      <c r="V38" s="72"/>
      <c r="W38" s="72"/>
      <c r="X38" s="73"/>
      <c r="Z38" s="71">
        <v>37</v>
      </c>
      <c r="AA38" s="72"/>
      <c r="AB38" s="72"/>
      <c r="AC38" s="73"/>
      <c r="AF38" s="71">
        <v>37</v>
      </c>
      <c r="AG38" s="72"/>
      <c r="AH38" s="72"/>
      <c r="AI38" s="73"/>
      <c r="AK38" s="71">
        <v>37</v>
      </c>
      <c r="AL38" s="72"/>
      <c r="AM38" s="72"/>
      <c r="AN38" s="73"/>
    </row>
    <row r="39" spans="2:40" x14ac:dyDescent="0.25">
      <c r="P39" s="71">
        <v>38</v>
      </c>
      <c r="Q39" s="72"/>
      <c r="R39" s="72"/>
      <c r="S39" s="73"/>
      <c r="T39" s="72"/>
      <c r="U39" s="71">
        <v>38</v>
      </c>
      <c r="V39" s="72"/>
      <c r="W39" s="72"/>
      <c r="X39" s="73"/>
      <c r="Z39" s="71">
        <v>38</v>
      </c>
      <c r="AA39" s="72"/>
      <c r="AB39" s="72"/>
      <c r="AC39" s="73"/>
      <c r="AF39" s="71">
        <v>38</v>
      </c>
      <c r="AG39" s="72"/>
      <c r="AH39" s="72"/>
      <c r="AI39" s="73"/>
      <c r="AK39" s="71">
        <v>38</v>
      </c>
      <c r="AL39" s="72"/>
      <c r="AM39" s="72"/>
      <c r="AN39" s="73"/>
    </row>
    <row r="40" spans="2:40" x14ac:dyDescent="0.25">
      <c r="P40" s="71">
        <v>39</v>
      </c>
      <c r="Q40" s="72"/>
      <c r="R40" s="72"/>
      <c r="S40" s="73"/>
      <c r="T40" s="72"/>
      <c r="U40" s="71">
        <v>39</v>
      </c>
      <c r="V40" s="72"/>
      <c r="W40" s="72"/>
      <c r="X40" s="73"/>
      <c r="Z40" s="71">
        <v>39</v>
      </c>
      <c r="AA40" s="72"/>
      <c r="AB40" s="72"/>
      <c r="AC40" s="73"/>
      <c r="AF40" s="71">
        <v>39</v>
      </c>
      <c r="AG40" s="72"/>
      <c r="AH40" s="72"/>
      <c r="AI40" s="73"/>
      <c r="AK40" s="71">
        <v>39</v>
      </c>
      <c r="AL40" s="72"/>
      <c r="AM40" s="72"/>
      <c r="AN40" s="73"/>
    </row>
    <row r="41" spans="2:40" x14ac:dyDescent="0.25">
      <c r="P41" s="71">
        <v>40</v>
      </c>
      <c r="Q41" s="72"/>
      <c r="R41" s="72"/>
      <c r="S41" s="73"/>
      <c r="T41" s="72"/>
      <c r="U41" s="71">
        <v>40</v>
      </c>
      <c r="V41" s="72"/>
      <c r="W41" s="72"/>
      <c r="X41" s="73"/>
      <c r="Z41" s="71">
        <v>40</v>
      </c>
      <c r="AA41" s="72"/>
      <c r="AB41" s="72"/>
      <c r="AC41" s="73"/>
      <c r="AF41" s="71">
        <v>40</v>
      </c>
      <c r="AG41" s="72"/>
      <c r="AH41" s="72"/>
      <c r="AI41" s="73"/>
      <c r="AK41" s="71">
        <v>40</v>
      </c>
      <c r="AL41" s="72"/>
      <c r="AM41" s="72"/>
      <c r="AN41" s="73"/>
    </row>
    <row r="42" spans="2:40" x14ac:dyDescent="0.25">
      <c r="P42" s="71">
        <v>41</v>
      </c>
      <c r="Q42" s="72"/>
      <c r="R42" s="72"/>
      <c r="S42" s="73"/>
      <c r="T42" s="72"/>
      <c r="U42" s="71">
        <v>41</v>
      </c>
      <c r="V42" s="72"/>
      <c r="W42" s="72"/>
      <c r="X42" s="73"/>
      <c r="Z42" s="71">
        <v>41</v>
      </c>
      <c r="AA42" s="72"/>
      <c r="AB42" s="72"/>
      <c r="AC42" s="73"/>
      <c r="AF42" s="71">
        <v>41</v>
      </c>
      <c r="AG42" s="72"/>
      <c r="AH42" s="72"/>
      <c r="AI42" s="73"/>
      <c r="AK42" s="71">
        <v>41</v>
      </c>
      <c r="AL42" s="72"/>
      <c r="AM42" s="72"/>
      <c r="AN42" s="73"/>
    </row>
    <row r="43" spans="2:40" x14ac:dyDescent="0.25">
      <c r="P43" s="71">
        <v>42</v>
      </c>
      <c r="Q43" s="72"/>
      <c r="R43" s="72"/>
      <c r="S43" s="73"/>
      <c r="T43" s="72"/>
      <c r="U43" s="71">
        <v>42</v>
      </c>
      <c r="V43" s="72"/>
      <c r="W43" s="72"/>
      <c r="X43" s="73"/>
      <c r="Z43" s="71">
        <v>42</v>
      </c>
      <c r="AA43" s="72"/>
      <c r="AB43" s="72"/>
      <c r="AC43" s="73"/>
      <c r="AF43" s="71">
        <v>42</v>
      </c>
      <c r="AG43" s="72"/>
      <c r="AH43" s="72"/>
      <c r="AI43" s="73"/>
      <c r="AK43" s="71">
        <v>42</v>
      </c>
      <c r="AL43" s="72"/>
      <c r="AM43" s="72"/>
      <c r="AN43" s="73"/>
    </row>
    <row r="44" spans="2:40" x14ac:dyDescent="0.25">
      <c r="P44" s="71">
        <v>43</v>
      </c>
      <c r="Q44" s="72"/>
      <c r="R44" s="72"/>
      <c r="S44" s="73"/>
      <c r="T44" s="72"/>
      <c r="U44" s="71">
        <v>43</v>
      </c>
      <c r="V44" s="72"/>
      <c r="W44" s="72"/>
      <c r="X44" s="73"/>
      <c r="Z44" s="71">
        <v>43</v>
      </c>
      <c r="AA44" s="72"/>
      <c r="AB44" s="72"/>
      <c r="AC44" s="73"/>
      <c r="AF44" s="71">
        <v>43</v>
      </c>
      <c r="AG44" s="72"/>
      <c r="AH44" s="72"/>
      <c r="AI44" s="73"/>
      <c r="AK44" s="71">
        <v>43</v>
      </c>
      <c r="AL44" s="72"/>
      <c r="AM44" s="72"/>
      <c r="AN44" s="73"/>
    </row>
    <row r="45" spans="2:40" x14ac:dyDescent="0.25">
      <c r="P45" s="71">
        <v>44</v>
      </c>
      <c r="Q45" s="72"/>
      <c r="R45" s="72"/>
      <c r="S45" s="73"/>
      <c r="T45" s="72"/>
      <c r="U45" s="71">
        <v>44</v>
      </c>
      <c r="V45" s="72"/>
      <c r="W45" s="72"/>
      <c r="X45" s="73"/>
      <c r="Z45" s="71">
        <v>44</v>
      </c>
      <c r="AA45" s="72"/>
      <c r="AB45" s="72"/>
      <c r="AC45" s="73"/>
      <c r="AF45" s="71">
        <v>44</v>
      </c>
      <c r="AG45" s="72"/>
      <c r="AH45" s="72"/>
      <c r="AI45" s="73"/>
      <c r="AK45" s="71">
        <v>44</v>
      </c>
      <c r="AL45" s="72"/>
      <c r="AM45" s="72"/>
      <c r="AN45" s="73"/>
    </row>
    <row r="46" spans="2:40" x14ac:dyDescent="0.25">
      <c r="P46" s="71">
        <v>45</v>
      </c>
      <c r="Q46" s="72"/>
      <c r="R46" s="72"/>
      <c r="S46" s="73"/>
      <c r="T46" s="72"/>
      <c r="U46" s="71">
        <v>45</v>
      </c>
      <c r="V46" s="72"/>
      <c r="W46" s="72"/>
      <c r="X46" s="73"/>
      <c r="Z46" s="71">
        <v>45</v>
      </c>
      <c r="AA46" s="72"/>
      <c r="AB46" s="72"/>
      <c r="AC46" s="73"/>
      <c r="AF46" s="71">
        <v>45</v>
      </c>
      <c r="AG46" s="72"/>
      <c r="AH46" s="72"/>
      <c r="AI46" s="73"/>
      <c r="AK46" s="71">
        <v>45</v>
      </c>
      <c r="AL46" s="72"/>
      <c r="AM46" s="72"/>
      <c r="AN46" s="73"/>
    </row>
    <row r="47" spans="2:40" x14ac:dyDescent="0.25">
      <c r="P47" s="71">
        <v>46</v>
      </c>
      <c r="Q47" s="72"/>
      <c r="R47" s="72"/>
      <c r="S47" s="73"/>
      <c r="T47" s="72"/>
      <c r="U47" s="71">
        <v>46</v>
      </c>
      <c r="V47" s="72"/>
      <c r="W47" s="72"/>
      <c r="X47" s="73"/>
      <c r="Z47" s="71">
        <v>46</v>
      </c>
      <c r="AA47" s="72"/>
      <c r="AB47" s="72"/>
      <c r="AC47" s="73"/>
      <c r="AF47" s="71">
        <v>46</v>
      </c>
      <c r="AG47" s="72"/>
      <c r="AH47" s="72"/>
      <c r="AI47" s="73"/>
      <c r="AK47" s="71">
        <v>46</v>
      </c>
      <c r="AL47" s="72"/>
      <c r="AM47" s="72"/>
      <c r="AN47" s="73"/>
    </row>
    <row r="48" spans="2:40" x14ac:dyDescent="0.25">
      <c r="B48">
        <v>33</v>
      </c>
      <c r="P48" s="71">
        <v>47</v>
      </c>
      <c r="Q48" s="72"/>
      <c r="R48" s="72"/>
      <c r="S48" s="73"/>
      <c r="T48" s="72"/>
      <c r="U48" s="71">
        <v>47</v>
      </c>
      <c r="V48" s="72"/>
      <c r="W48" s="72"/>
      <c r="X48" s="73"/>
      <c r="Z48" s="71">
        <v>47</v>
      </c>
      <c r="AA48" s="72"/>
      <c r="AB48" s="72"/>
      <c r="AC48" s="73"/>
      <c r="AF48" s="71">
        <v>47</v>
      </c>
      <c r="AG48" s="72"/>
      <c r="AH48" s="72"/>
      <c r="AI48" s="73"/>
      <c r="AK48" s="71">
        <v>47</v>
      </c>
      <c r="AL48" s="72"/>
      <c r="AM48" s="72"/>
      <c r="AN48" s="73"/>
    </row>
    <row r="49" spans="2:40" x14ac:dyDescent="0.25">
      <c r="B49">
        <v>34</v>
      </c>
      <c r="P49" s="71">
        <v>48</v>
      </c>
      <c r="Q49" s="72"/>
      <c r="R49" s="72"/>
      <c r="S49" s="73"/>
      <c r="T49" s="72"/>
      <c r="U49" s="71">
        <v>48</v>
      </c>
      <c r="V49" s="72"/>
      <c r="W49" s="72"/>
      <c r="X49" s="73"/>
      <c r="Z49" s="71">
        <v>48</v>
      </c>
      <c r="AA49" s="72"/>
      <c r="AB49" s="72"/>
      <c r="AC49" s="73"/>
      <c r="AF49" s="71">
        <v>48</v>
      </c>
      <c r="AG49" s="72"/>
      <c r="AH49" s="72"/>
      <c r="AI49" s="73"/>
      <c r="AK49" s="71">
        <v>48</v>
      </c>
      <c r="AL49" s="72"/>
      <c r="AM49" s="72"/>
      <c r="AN49" s="73"/>
    </row>
    <row r="50" spans="2:40" x14ac:dyDescent="0.25">
      <c r="B50">
        <v>35</v>
      </c>
      <c r="P50" s="71">
        <v>49</v>
      </c>
      <c r="Q50" s="72"/>
      <c r="R50" s="72"/>
      <c r="S50" s="73"/>
      <c r="T50" s="72"/>
      <c r="U50" s="71">
        <v>49</v>
      </c>
      <c r="V50" s="72"/>
      <c r="W50" s="72"/>
      <c r="X50" s="73"/>
      <c r="Z50" s="71">
        <v>49</v>
      </c>
      <c r="AA50" s="72"/>
      <c r="AB50" s="72"/>
      <c r="AC50" s="73"/>
      <c r="AF50" s="71">
        <v>49</v>
      </c>
      <c r="AG50" s="72"/>
      <c r="AH50" s="72"/>
      <c r="AI50" s="73"/>
      <c r="AK50" s="71">
        <v>49</v>
      </c>
      <c r="AL50" s="72"/>
      <c r="AM50" s="72"/>
      <c r="AN50" s="73"/>
    </row>
    <row r="51" spans="2:40" x14ac:dyDescent="0.25">
      <c r="B51">
        <v>36</v>
      </c>
      <c r="P51" s="71">
        <v>50</v>
      </c>
      <c r="Q51" s="72"/>
      <c r="R51" s="72"/>
      <c r="S51" s="73"/>
      <c r="T51" s="72"/>
      <c r="U51" s="71">
        <v>50</v>
      </c>
      <c r="V51" s="72"/>
      <c r="W51" s="72"/>
      <c r="X51" s="73"/>
      <c r="Z51" s="71">
        <v>50</v>
      </c>
      <c r="AA51" s="72"/>
      <c r="AB51" s="72"/>
      <c r="AC51" s="73"/>
      <c r="AF51" s="71">
        <v>50</v>
      </c>
      <c r="AG51" s="72"/>
      <c r="AH51" s="72"/>
      <c r="AI51" s="73"/>
      <c r="AK51" s="71">
        <v>50</v>
      </c>
      <c r="AL51" s="72"/>
      <c r="AM51" s="72"/>
      <c r="AN51" s="73"/>
    </row>
    <row r="52" spans="2:40" x14ac:dyDescent="0.25">
      <c r="B52">
        <v>37</v>
      </c>
      <c r="P52" s="71">
        <v>51</v>
      </c>
      <c r="Q52" s="72"/>
      <c r="R52" s="72"/>
      <c r="S52" s="73"/>
      <c r="T52" s="72"/>
      <c r="U52" s="71">
        <v>51</v>
      </c>
      <c r="V52" s="72"/>
      <c r="W52" s="72"/>
      <c r="X52" s="73"/>
      <c r="Z52" s="71">
        <v>51</v>
      </c>
      <c r="AA52" s="72"/>
      <c r="AB52" s="72"/>
      <c r="AC52" s="73"/>
      <c r="AF52" s="71">
        <v>51</v>
      </c>
      <c r="AG52" s="72"/>
      <c r="AH52" s="72"/>
      <c r="AI52" s="73"/>
      <c r="AK52" s="71">
        <v>51</v>
      </c>
      <c r="AL52" s="72"/>
      <c r="AM52" s="72"/>
      <c r="AN52" s="73"/>
    </row>
    <row r="53" spans="2:40" x14ac:dyDescent="0.25">
      <c r="B53">
        <v>38</v>
      </c>
      <c r="P53" s="71">
        <v>52</v>
      </c>
      <c r="Q53" s="72"/>
      <c r="R53" s="72"/>
      <c r="S53" s="73"/>
      <c r="T53" s="72"/>
      <c r="U53" s="71">
        <v>52</v>
      </c>
      <c r="V53" s="72"/>
      <c r="W53" s="72"/>
      <c r="X53" s="73"/>
      <c r="Z53" s="71">
        <v>52</v>
      </c>
      <c r="AA53" s="72"/>
      <c r="AB53" s="72"/>
      <c r="AC53" s="73"/>
      <c r="AF53" s="71">
        <v>52</v>
      </c>
      <c r="AG53" s="72"/>
      <c r="AH53" s="72"/>
      <c r="AI53" s="73"/>
      <c r="AK53" s="71">
        <v>52</v>
      </c>
      <c r="AL53" s="72"/>
      <c r="AM53" s="72"/>
      <c r="AN53" s="73"/>
    </row>
    <row r="54" spans="2:40" x14ac:dyDescent="0.25">
      <c r="B54">
        <v>39</v>
      </c>
      <c r="P54" s="71">
        <v>53</v>
      </c>
      <c r="Q54" s="72"/>
      <c r="R54" s="72"/>
      <c r="S54" s="73"/>
      <c r="T54" s="72"/>
      <c r="U54" s="71">
        <v>53</v>
      </c>
      <c r="V54" s="72"/>
      <c r="W54" s="72"/>
      <c r="X54" s="73"/>
      <c r="Z54" s="71">
        <v>53</v>
      </c>
      <c r="AA54" s="72"/>
      <c r="AB54" s="72"/>
      <c r="AC54" s="73"/>
      <c r="AF54" s="71">
        <v>53</v>
      </c>
      <c r="AG54" s="72"/>
      <c r="AH54" s="72"/>
      <c r="AI54" s="73"/>
      <c r="AK54" s="71">
        <v>53</v>
      </c>
      <c r="AL54" s="72"/>
      <c r="AM54" s="72"/>
      <c r="AN54" s="73"/>
    </row>
    <row r="55" spans="2:40" x14ac:dyDescent="0.25">
      <c r="B55">
        <v>40</v>
      </c>
      <c r="P55" s="71">
        <v>54</v>
      </c>
      <c r="Q55" s="72"/>
      <c r="R55" s="72"/>
      <c r="S55" s="73"/>
      <c r="T55" s="72"/>
      <c r="U55" s="71">
        <v>54</v>
      </c>
      <c r="V55" s="72"/>
      <c r="W55" s="72"/>
      <c r="X55" s="73"/>
      <c r="Z55" s="71">
        <v>54</v>
      </c>
      <c r="AA55" s="72"/>
      <c r="AB55" s="72"/>
      <c r="AC55" s="73"/>
      <c r="AF55" s="71">
        <v>54</v>
      </c>
      <c r="AG55" s="72"/>
      <c r="AH55" s="72"/>
      <c r="AI55" s="73"/>
      <c r="AK55" s="71">
        <v>54</v>
      </c>
      <c r="AL55" s="72"/>
      <c r="AM55" s="72"/>
      <c r="AN55" s="73"/>
    </row>
    <row r="56" spans="2:40" x14ac:dyDescent="0.25">
      <c r="B56">
        <v>41</v>
      </c>
      <c r="P56" s="71">
        <v>55</v>
      </c>
      <c r="Q56" s="72"/>
      <c r="R56" s="72"/>
      <c r="S56" s="73"/>
      <c r="T56" s="72"/>
      <c r="U56" s="71">
        <v>55</v>
      </c>
      <c r="V56" s="72"/>
      <c r="W56" s="72"/>
      <c r="X56" s="73"/>
      <c r="Z56" s="71">
        <v>55</v>
      </c>
      <c r="AA56" s="72"/>
      <c r="AB56" s="72"/>
      <c r="AC56" s="73"/>
      <c r="AF56" s="71">
        <v>55</v>
      </c>
      <c r="AG56" s="72"/>
      <c r="AH56" s="72"/>
      <c r="AI56" s="73"/>
      <c r="AK56" s="71">
        <v>55</v>
      </c>
      <c r="AL56" s="72"/>
      <c r="AM56" s="72"/>
      <c r="AN56" s="73"/>
    </row>
    <row r="57" spans="2:40" ht="15.75" thickBot="1" x14ac:dyDescent="0.3">
      <c r="B57">
        <v>42</v>
      </c>
      <c r="P57" s="71">
        <v>56</v>
      </c>
      <c r="Q57" s="75"/>
      <c r="R57" s="75"/>
      <c r="S57" s="76"/>
      <c r="T57" s="75"/>
      <c r="U57" s="74">
        <v>56</v>
      </c>
      <c r="V57" s="75"/>
      <c r="W57" s="75"/>
      <c r="X57" s="76"/>
      <c r="Z57" s="74">
        <v>56</v>
      </c>
      <c r="AA57" s="75"/>
      <c r="AB57" s="75"/>
      <c r="AC57" s="76"/>
      <c r="AF57" s="74">
        <v>56</v>
      </c>
      <c r="AG57" s="75"/>
      <c r="AH57" s="75"/>
      <c r="AI57" s="76"/>
      <c r="AK57" s="74">
        <v>56</v>
      </c>
      <c r="AL57" s="75"/>
      <c r="AM57" s="75"/>
      <c r="AN57" s="76"/>
    </row>
    <row r="58" spans="2:40" x14ac:dyDescent="0.25">
      <c r="B58">
        <v>43</v>
      </c>
    </row>
    <row r="59" spans="2:40" x14ac:dyDescent="0.25">
      <c r="B59">
        <v>44</v>
      </c>
    </row>
    <row r="60" spans="2:40" x14ac:dyDescent="0.25">
      <c r="B60">
        <v>45</v>
      </c>
    </row>
    <row r="61" spans="2:40" x14ac:dyDescent="0.25">
      <c r="B61">
        <v>46</v>
      </c>
    </row>
    <row r="62" spans="2:40" x14ac:dyDescent="0.25">
      <c r="B62">
        <v>47</v>
      </c>
    </row>
    <row r="63" spans="2:40" x14ac:dyDescent="0.25">
      <c r="B63">
        <v>48</v>
      </c>
    </row>
    <row r="64" spans="2:40" x14ac:dyDescent="0.25">
      <c r="B64">
        <v>49</v>
      </c>
    </row>
    <row r="65" spans="2:2" x14ac:dyDescent="0.25">
      <c r="B65">
        <v>50</v>
      </c>
    </row>
  </sheetData>
  <hyperlinks>
    <hyperlink ref="A1" location="input!P1" display="مخزن البلوكات"/>
    <hyperlink ref="A2" location="input!T1" display="مخزن الاسطمبات الدور الثاني"/>
    <hyperlink ref="A3" location="input!X1" display="مخزن الاسطمبات الدور الثالث"/>
    <hyperlink ref="A4" location="input!AC1" display="مخزن السطح"/>
    <hyperlink ref="A5" location="input!AG1" display="مخزن صناديق السمك"/>
    <hyperlink ref="P1" location="input!A1" display="input!A1"/>
    <hyperlink ref="U1" location="input!A1" display="input!A1"/>
    <hyperlink ref="Z1" location="input!A1" display="input!A1"/>
    <hyperlink ref="AF1" location="input!A1" display="input!A1"/>
    <hyperlink ref="AK1" location="input!A1" display="input!A1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13"/>
  <sheetViews>
    <sheetView rightToLeft="1" zoomScaleNormal="100" workbookViewId="0"/>
  </sheetViews>
  <sheetFormatPr defaultRowHeight="15" x14ac:dyDescent="0.25"/>
  <cols>
    <col min="11" max="11" width="19.42578125" customWidth="1"/>
  </cols>
  <sheetData>
    <row r="2" spans="1:12" x14ac:dyDescent="0.25">
      <c r="A2" t="s">
        <v>1</v>
      </c>
      <c r="B2" t="s">
        <v>707</v>
      </c>
      <c r="C2" t="s">
        <v>713</v>
      </c>
      <c r="D2" t="s">
        <v>714</v>
      </c>
    </row>
    <row r="3" spans="1:12" x14ac:dyDescent="0.25">
      <c r="A3" t="s">
        <v>36</v>
      </c>
      <c r="C3">
        <v>130</v>
      </c>
      <c r="D3" s="55" t="s">
        <v>715</v>
      </c>
      <c r="E3" s="55"/>
    </row>
    <row r="11" spans="1:12" x14ac:dyDescent="0.25">
      <c r="A11" t="s">
        <v>705</v>
      </c>
      <c r="B11" t="s">
        <v>706</v>
      </c>
      <c r="C11" t="s">
        <v>712</v>
      </c>
      <c r="D11" t="s">
        <v>1</v>
      </c>
      <c r="E11" t="s">
        <v>707</v>
      </c>
      <c r="F11" t="s">
        <v>709</v>
      </c>
      <c r="G11" t="s">
        <v>711</v>
      </c>
      <c r="H11" t="s">
        <v>708</v>
      </c>
      <c r="I11" t="s">
        <v>710</v>
      </c>
      <c r="J11" t="s">
        <v>689</v>
      </c>
      <c r="K11" t="s">
        <v>691</v>
      </c>
      <c r="L11" t="s">
        <v>716</v>
      </c>
    </row>
    <row r="12" spans="1:12" ht="18" x14ac:dyDescent="0.25">
      <c r="A12" t="s">
        <v>700</v>
      </c>
      <c r="B12" s="55">
        <v>17</v>
      </c>
      <c r="D12" t="s">
        <v>36</v>
      </c>
      <c r="E12" t="s">
        <v>35</v>
      </c>
      <c r="F12">
        <v>0.3</v>
      </c>
      <c r="G12">
        <v>100</v>
      </c>
      <c r="I12">
        <v>30</v>
      </c>
      <c r="K12" s="77">
        <v>43306.553854166668</v>
      </c>
    </row>
    <row r="13" spans="1:12" ht="18" x14ac:dyDescent="0.25">
      <c r="A13" t="s">
        <v>700</v>
      </c>
      <c r="B13" s="55">
        <v>18</v>
      </c>
      <c r="D13" t="s">
        <v>36</v>
      </c>
      <c r="E13" t="s">
        <v>35</v>
      </c>
      <c r="F13">
        <v>0.3</v>
      </c>
      <c r="G13">
        <v>41</v>
      </c>
      <c r="I13">
        <v>12.299999999999999</v>
      </c>
      <c r="K13" s="77">
        <v>43306.553854166668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input!$B$1:$B$65</xm:f>
          </x14:formula1>
          <xm:sqref>B12:B13</xm:sqref>
        </x14:dataValidation>
        <x14:dataValidation type="list" allowBlank="1" showInputMessage="1" showErrorMessage="1">
          <x14:formula1>
            <xm:f>input!$A$1:$A$8</xm:f>
          </x14:formula1>
          <xm:sqref>A12:A13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6:F17"/>
  <sheetViews>
    <sheetView rightToLeft="1" workbookViewId="0"/>
  </sheetViews>
  <sheetFormatPr defaultRowHeight="15" x14ac:dyDescent="0.25"/>
  <cols>
    <col min="2" max="2" width="14.28515625" bestFit="1" customWidth="1"/>
    <col min="3" max="3" width="5.140625" bestFit="1" customWidth="1"/>
    <col min="4" max="4" width="8.85546875" bestFit="1" customWidth="1"/>
    <col min="5" max="5" width="10.5703125" bestFit="1" customWidth="1"/>
    <col min="6" max="6" width="11.7109375" bestFit="1" customWidth="1"/>
  </cols>
  <sheetData>
    <row r="6" spans="1:6" x14ac:dyDescent="0.25">
      <c r="B6" t="s">
        <v>698</v>
      </c>
    </row>
    <row r="7" spans="1:6" x14ac:dyDescent="0.25">
      <c r="B7" t="s">
        <v>681</v>
      </c>
      <c r="D7" t="s">
        <v>683</v>
      </c>
      <c r="E7" t="s">
        <v>690</v>
      </c>
    </row>
    <row r="8" spans="1:6" x14ac:dyDescent="0.25">
      <c r="B8" t="s">
        <v>688</v>
      </c>
      <c r="C8" t="s">
        <v>617</v>
      </c>
      <c r="D8" t="s">
        <v>1</v>
      </c>
      <c r="E8" t="s">
        <v>691</v>
      </c>
      <c r="F8" t="s">
        <v>689</v>
      </c>
    </row>
    <row r="9" spans="1:6" x14ac:dyDescent="0.25">
      <c r="A9">
        <v>1</v>
      </c>
    </row>
    <row r="10" spans="1:6" x14ac:dyDescent="0.25">
      <c r="A10">
        <v>2</v>
      </c>
    </row>
    <row r="11" spans="1:6" x14ac:dyDescent="0.25">
      <c r="A11">
        <v>3</v>
      </c>
    </row>
    <row r="12" spans="1:6" x14ac:dyDescent="0.25">
      <c r="A12">
        <v>4</v>
      </c>
    </row>
    <row r="13" spans="1:6" x14ac:dyDescent="0.25">
      <c r="A13">
        <v>5</v>
      </c>
    </row>
    <row r="14" spans="1:6" x14ac:dyDescent="0.25">
      <c r="A14">
        <v>6</v>
      </c>
    </row>
    <row r="15" spans="1:6" x14ac:dyDescent="0.25">
      <c r="A15">
        <v>7</v>
      </c>
    </row>
    <row r="16" spans="1:6" x14ac:dyDescent="0.25">
      <c r="A16">
        <v>8</v>
      </c>
    </row>
    <row r="17" spans="1:1" x14ac:dyDescent="0.25">
      <c r="A17"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2"/>
  <sheetViews>
    <sheetView rightToLeft="1" workbookViewId="0">
      <selection activeCell="C7" sqref="C7"/>
    </sheetView>
  </sheetViews>
  <sheetFormatPr defaultRowHeight="15" x14ac:dyDescent="0.25"/>
  <sheetData>
    <row r="1" spans="1:14" x14ac:dyDescent="0.25">
      <c r="E1" t="s">
        <v>693</v>
      </c>
    </row>
    <row r="2" spans="1:14" ht="15.75" thickBot="1" x14ac:dyDescent="0.3">
      <c r="E2" t="s">
        <v>694</v>
      </c>
    </row>
    <row r="3" spans="1:14" x14ac:dyDescent="0.25">
      <c r="A3" s="68"/>
      <c r="B3" s="69" t="s">
        <v>696</v>
      </c>
      <c r="C3" s="69" t="s">
        <v>726</v>
      </c>
      <c r="D3" s="70"/>
      <c r="F3" s="68"/>
      <c r="G3" s="69" t="s">
        <v>696</v>
      </c>
      <c r="H3" s="69"/>
      <c r="I3" s="70"/>
      <c r="K3" s="68"/>
      <c r="L3" s="69" t="s">
        <v>696</v>
      </c>
      <c r="M3" s="69"/>
      <c r="N3" s="70"/>
    </row>
    <row r="4" spans="1:14" x14ac:dyDescent="0.25">
      <c r="A4" s="71"/>
      <c r="B4" s="72" t="s">
        <v>695</v>
      </c>
      <c r="C4" s="72">
        <v>11</v>
      </c>
      <c r="D4" s="73"/>
      <c r="F4" s="71"/>
      <c r="G4" s="72" t="s">
        <v>695</v>
      </c>
      <c r="H4" s="72"/>
      <c r="I4" s="73"/>
      <c r="K4" s="71"/>
      <c r="L4" s="72" t="s">
        <v>695</v>
      </c>
      <c r="M4" s="72"/>
      <c r="N4" s="73"/>
    </row>
    <row r="5" spans="1:14" x14ac:dyDescent="0.25">
      <c r="A5" s="71"/>
      <c r="B5" s="72" t="s">
        <v>2</v>
      </c>
      <c r="C5" s="78" t="s">
        <v>32</v>
      </c>
      <c r="D5" s="73"/>
      <c r="F5" s="71"/>
      <c r="G5" s="72" t="s">
        <v>2</v>
      </c>
      <c r="H5" s="72"/>
      <c r="I5" s="73"/>
      <c r="K5" s="71"/>
      <c r="L5" s="72" t="s">
        <v>2</v>
      </c>
      <c r="M5" s="72"/>
      <c r="N5" s="73"/>
    </row>
    <row r="6" spans="1:14" x14ac:dyDescent="0.25">
      <c r="A6" s="71"/>
      <c r="B6" s="81" t="s">
        <v>725</v>
      </c>
      <c r="C6" s="72" t="str">
        <f>input!W12</f>
        <v>FMDAIIM1000000</v>
      </c>
      <c r="D6" s="73"/>
      <c r="F6" s="71"/>
      <c r="G6" s="72"/>
      <c r="H6" s="72"/>
      <c r="I6" s="73"/>
      <c r="K6" s="71"/>
      <c r="L6" s="72"/>
      <c r="M6" s="72"/>
      <c r="N6" s="73"/>
    </row>
    <row r="7" spans="1:14" x14ac:dyDescent="0.25">
      <c r="A7" s="71"/>
      <c r="B7" s="81" t="s">
        <v>727</v>
      </c>
      <c r="C7" s="72"/>
      <c r="D7" s="73"/>
      <c r="F7" s="71"/>
      <c r="G7" s="72"/>
      <c r="H7" s="72"/>
      <c r="I7" s="73"/>
      <c r="K7" s="71"/>
      <c r="L7" s="72"/>
      <c r="M7" s="72"/>
      <c r="N7" s="73"/>
    </row>
    <row r="8" spans="1:14" ht="15.75" thickBot="1" x14ac:dyDescent="0.3">
      <c r="A8" s="74"/>
      <c r="B8" s="75"/>
      <c r="C8" s="75"/>
      <c r="D8" s="76"/>
      <c r="F8" s="74"/>
      <c r="G8" s="75"/>
      <c r="H8" s="75"/>
      <c r="I8" s="76"/>
      <c r="K8" s="74"/>
      <c r="L8" s="75"/>
      <c r="M8" s="75"/>
      <c r="N8" s="76"/>
    </row>
    <row r="9" spans="1:14" ht="15.75" thickBot="1" x14ac:dyDescent="0.3"/>
    <row r="10" spans="1:14" x14ac:dyDescent="0.25">
      <c r="A10" s="68"/>
      <c r="B10" s="69" t="s">
        <v>696</v>
      </c>
      <c r="C10" s="69"/>
      <c r="D10" s="70"/>
      <c r="F10" s="68"/>
      <c r="G10" s="69" t="s">
        <v>696</v>
      </c>
      <c r="H10" s="69"/>
      <c r="I10" s="70"/>
      <c r="K10" s="68"/>
      <c r="L10" s="69" t="s">
        <v>696</v>
      </c>
      <c r="M10" s="69"/>
      <c r="N10" s="70"/>
    </row>
    <row r="11" spans="1:14" x14ac:dyDescent="0.25">
      <c r="A11" s="71"/>
      <c r="B11" s="72" t="s">
        <v>695</v>
      </c>
      <c r="C11" s="72"/>
      <c r="D11" s="73"/>
      <c r="F11" s="71"/>
      <c r="G11" s="72" t="s">
        <v>695</v>
      </c>
      <c r="H11" s="72"/>
      <c r="I11" s="73"/>
      <c r="K11" s="71"/>
      <c r="L11" s="72" t="s">
        <v>695</v>
      </c>
      <c r="M11" s="72"/>
      <c r="N11" s="73"/>
    </row>
    <row r="12" spans="1:14" x14ac:dyDescent="0.25">
      <c r="A12" s="71"/>
      <c r="B12" s="72" t="s">
        <v>2</v>
      </c>
      <c r="C12" s="72"/>
      <c r="D12" s="73"/>
      <c r="F12" s="71"/>
      <c r="G12" s="72" t="s">
        <v>2</v>
      </c>
      <c r="H12" s="72"/>
      <c r="I12" s="73"/>
      <c r="K12" s="71"/>
      <c r="L12" s="72" t="s">
        <v>2</v>
      </c>
      <c r="M12" s="72"/>
      <c r="N12" s="73"/>
    </row>
    <row r="13" spans="1:14" x14ac:dyDescent="0.25">
      <c r="A13" s="71"/>
      <c r="B13" s="72"/>
      <c r="C13" s="72"/>
      <c r="D13" s="73"/>
      <c r="F13" s="71"/>
      <c r="G13" s="72"/>
      <c r="H13" s="72"/>
      <c r="I13" s="73"/>
      <c r="K13" s="71"/>
      <c r="L13" s="72"/>
      <c r="M13" s="72"/>
      <c r="N13" s="73"/>
    </row>
    <row r="14" spans="1:14" x14ac:dyDescent="0.25">
      <c r="A14" s="71"/>
      <c r="B14" s="72"/>
      <c r="C14" s="72"/>
      <c r="D14" s="73"/>
      <c r="F14" s="71"/>
      <c r="G14" s="72"/>
      <c r="H14" s="72"/>
      <c r="I14" s="73"/>
      <c r="K14" s="71"/>
      <c r="L14" s="72"/>
      <c r="M14" s="72"/>
      <c r="N14" s="73"/>
    </row>
    <row r="15" spans="1:14" ht="15.75" thickBot="1" x14ac:dyDescent="0.3">
      <c r="A15" s="74"/>
      <c r="B15" s="75"/>
      <c r="C15" s="75"/>
      <c r="D15" s="76"/>
      <c r="F15" s="74"/>
      <c r="G15" s="75"/>
      <c r="H15" s="75"/>
      <c r="I15" s="76"/>
      <c r="K15" s="74"/>
      <c r="L15" s="75"/>
      <c r="M15" s="75"/>
      <c r="N15" s="76"/>
    </row>
    <row r="16" spans="1:14" ht="15.75" thickBot="1" x14ac:dyDescent="0.3"/>
    <row r="17" spans="1:14" x14ac:dyDescent="0.25">
      <c r="A17" s="68"/>
      <c r="B17" s="69" t="s">
        <v>696</v>
      </c>
      <c r="C17" s="69"/>
      <c r="D17" s="70"/>
      <c r="F17" s="68"/>
      <c r="G17" s="69" t="s">
        <v>696</v>
      </c>
      <c r="H17" s="69"/>
      <c r="I17" s="70"/>
      <c r="K17" s="68"/>
      <c r="L17" s="69" t="s">
        <v>696</v>
      </c>
      <c r="M17" s="69"/>
      <c r="N17" s="70"/>
    </row>
    <row r="18" spans="1:14" x14ac:dyDescent="0.25">
      <c r="A18" s="71"/>
      <c r="B18" s="72" t="s">
        <v>695</v>
      </c>
      <c r="C18" s="72"/>
      <c r="D18" s="73"/>
      <c r="F18" s="71"/>
      <c r="G18" s="72" t="s">
        <v>695</v>
      </c>
      <c r="H18" s="72"/>
      <c r="I18" s="73"/>
      <c r="K18" s="71"/>
      <c r="L18" s="72" t="s">
        <v>695</v>
      </c>
      <c r="M18" s="72"/>
      <c r="N18" s="73"/>
    </row>
    <row r="19" spans="1:14" x14ac:dyDescent="0.25">
      <c r="A19" s="71"/>
      <c r="B19" s="72" t="s">
        <v>2</v>
      </c>
      <c r="C19" s="72"/>
      <c r="D19" s="73"/>
      <c r="F19" s="71"/>
      <c r="G19" s="72" t="s">
        <v>2</v>
      </c>
      <c r="H19" s="72"/>
      <c r="I19" s="73"/>
      <c r="K19" s="71"/>
      <c r="L19" s="72" t="s">
        <v>2</v>
      </c>
      <c r="M19" s="72"/>
      <c r="N19" s="73"/>
    </row>
    <row r="20" spans="1:14" x14ac:dyDescent="0.25">
      <c r="A20" s="71"/>
      <c r="B20" s="72"/>
      <c r="C20" s="72"/>
      <c r="D20" s="73"/>
      <c r="F20" s="71"/>
      <c r="G20" s="72"/>
      <c r="H20" s="72"/>
      <c r="I20" s="73"/>
      <c r="K20" s="71"/>
      <c r="L20" s="72"/>
      <c r="M20" s="72"/>
      <c r="N20" s="73"/>
    </row>
    <row r="21" spans="1:14" x14ac:dyDescent="0.25">
      <c r="A21" s="71"/>
      <c r="B21" s="72"/>
      <c r="C21" s="72"/>
      <c r="D21" s="73"/>
      <c r="F21" s="71"/>
      <c r="G21" s="72"/>
      <c r="H21" s="72"/>
      <c r="I21" s="73"/>
      <c r="K21" s="71"/>
      <c r="L21" s="72"/>
      <c r="M21" s="72"/>
      <c r="N21" s="73"/>
    </row>
    <row r="22" spans="1:14" ht="15.75" thickBot="1" x14ac:dyDescent="0.3">
      <c r="A22" s="74"/>
      <c r="B22" s="75"/>
      <c r="C22" s="75"/>
      <c r="D22" s="76"/>
      <c r="F22" s="74"/>
      <c r="G22" s="75"/>
      <c r="H22" s="75"/>
      <c r="I22" s="76"/>
      <c r="K22" s="74"/>
      <c r="L22" s="75"/>
      <c r="M22" s="75"/>
      <c r="N22" s="7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7"/>
  <sheetViews>
    <sheetView rightToLeft="1" tabSelected="1" workbookViewId="0">
      <selection activeCell="A5" sqref="A5"/>
    </sheetView>
  </sheetViews>
  <sheetFormatPr defaultRowHeight="15" x14ac:dyDescent="0.25"/>
  <cols>
    <col min="2" max="2" width="11.85546875" bestFit="1" customWidth="1"/>
    <col min="3" max="3" width="43.28515625" bestFit="1" customWidth="1"/>
    <col min="4" max="5" width="13.85546875" bestFit="1" customWidth="1"/>
    <col min="6" max="6" width="22.42578125" bestFit="1" customWidth="1"/>
  </cols>
  <sheetData>
    <row r="1" spans="1:6" x14ac:dyDescent="0.25">
      <c r="A1" t="s">
        <v>705</v>
      </c>
      <c r="B1" t="s">
        <v>706</v>
      </c>
      <c r="C1" s="78" t="s">
        <v>1</v>
      </c>
      <c r="D1" t="s">
        <v>707</v>
      </c>
      <c r="E1" t="s">
        <v>691</v>
      </c>
      <c r="F1" t="s">
        <v>728</v>
      </c>
    </row>
    <row r="2" spans="1:6" ht="18" x14ac:dyDescent="0.25">
      <c r="A2" t="s">
        <v>699</v>
      </c>
      <c r="B2">
        <v>22</v>
      </c>
      <c r="C2" s="78" t="s">
        <v>52</v>
      </c>
      <c r="D2" t="s">
        <v>51</v>
      </c>
      <c r="E2" s="77"/>
    </row>
    <row r="3" spans="1:6" ht="18" x14ac:dyDescent="0.25">
      <c r="A3" t="s">
        <v>699</v>
      </c>
      <c r="B3">
        <v>22</v>
      </c>
      <c r="C3" s="78" t="s">
        <v>54</v>
      </c>
      <c r="D3" t="s">
        <v>53</v>
      </c>
      <c r="E3" s="77">
        <v>43304.553854166668</v>
      </c>
    </row>
    <row r="4" spans="1:6" ht="18" x14ac:dyDescent="0.25">
      <c r="A4" t="s">
        <v>699</v>
      </c>
      <c r="B4">
        <v>2</v>
      </c>
      <c r="C4" s="78" t="s">
        <v>84</v>
      </c>
      <c r="D4" t="s">
        <v>83</v>
      </c>
      <c r="E4" s="77">
        <v>43305.553854166668</v>
      </c>
    </row>
    <row r="5" spans="1:6" ht="18" x14ac:dyDescent="0.25">
      <c r="A5" t="s">
        <v>700</v>
      </c>
      <c r="B5">
        <v>15</v>
      </c>
      <c r="C5" s="78" t="s">
        <v>34</v>
      </c>
      <c r="D5" t="s">
        <v>33</v>
      </c>
      <c r="E5" s="77">
        <v>43303.553854166668</v>
      </c>
    </row>
    <row r="6" spans="1:6" ht="18" x14ac:dyDescent="0.25">
      <c r="A6" t="s">
        <v>700</v>
      </c>
      <c r="B6" s="55">
        <v>16</v>
      </c>
      <c r="C6" s="78" t="s">
        <v>34</v>
      </c>
      <c r="D6" t="s">
        <v>33</v>
      </c>
      <c r="E6" s="77">
        <v>43305.553854166668</v>
      </c>
    </row>
    <row r="7" spans="1:6" ht="18" x14ac:dyDescent="0.25">
      <c r="A7" t="s">
        <v>699</v>
      </c>
      <c r="B7" s="55">
        <v>15</v>
      </c>
      <c r="C7" s="78" t="s">
        <v>34</v>
      </c>
      <c r="D7" t="s">
        <v>33</v>
      </c>
      <c r="E7" s="77">
        <v>43305.553854166668</v>
      </c>
    </row>
    <row r="8" spans="1:6" ht="18" x14ac:dyDescent="0.25">
      <c r="A8" t="s">
        <v>700</v>
      </c>
      <c r="B8" s="55">
        <v>14</v>
      </c>
      <c r="C8" s="78" t="s">
        <v>34</v>
      </c>
      <c r="D8" t="s">
        <v>33</v>
      </c>
      <c r="E8" s="77">
        <v>43306.553854166668</v>
      </c>
    </row>
    <row r="9" spans="1:6" ht="18" x14ac:dyDescent="0.25">
      <c r="A9" t="s">
        <v>699</v>
      </c>
      <c r="B9">
        <v>13</v>
      </c>
      <c r="C9" s="78" t="s">
        <v>32</v>
      </c>
      <c r="D9" t="s">
        <v>31</v>
      </c>
      <c r="E9" s="77">
        <v>43303.553854166668</v>
      </c>
    </row>
    <row r="10" spans="1:6" ht="18" x14ac:dyDescent="0.25">
      <c r="A10" t="s">
        <v>699</v>
      </c>
      <c r="B10">
        <v>17</v>
      </c>
      <c r="C10" s="78" t="s">
        <v>38</v>
      </c>
      <c r="D10" t="s">
        <v>37</v>
      </c>
      <c r="E10" s="77">
        <v>43305.553854166668</v>
      </c>
    </row>
    <row r="11" spans="1:6" ht="18" x14ac:dyDescent="0.25">
      <c r="A11" t="s">
        <v>700</v>
      </c>
      <c r="B11">
        <v>17</v>
      </c>
      <c r="C11" s="78" t="s">
        <v>36</v>
      </c>
      <c r="D11" t="s">
        <v>35</v>
      </c>
      <c r="E11" s="77">
        <v>43300.553854166668</v>
      </c>
    </row>
    <row r="12" spans="1:6" ht="18" x14ac:dyDescent="0.25">
      <c r="A12" t="s">
        <v>700</v>
      </c>
      <c r="B12" s="55">
        <v>18</v>
      </c>
      <c r="C12" s="78" t="s">
        <v>36</v>
      </c>
      <c r="D12" t="s">
        <v>35</v>
      </c>
      <c r="E12" s="77">
        <v>43305.553854166668</v>
      </c>
    </row>
    <row r="13" spans="1:6" ht="18" x14ac:dyDescent="0.25">
      <c r="A13" t="s">
        <v>699</v>
      </c>
      <c r="B13">
        <v>17</v>
      </c>
      <c r="C13" s="78" t="s">
        <v>40</v>
      </c>
      <c r="D13" t="s">
        <v>39</v>
      </c>
      <c r="E13" s="77">
        <v>43299.553854166668</v>
      </c>
    </row>
    <row r="14" spans="1:6" ht="18" x14ac:dyDescent="0.25">
      <c r="A14" t="s">
        <v>699</v>
      </c>
      <c r="B14">
        <v>14</v>
      </c>
      <c r="C14" s="78" t="s">
        <v>42</v>
      </c>
      <c r="D14" t="s">
        <v>41</v>
      </c>
      <c r="E14" s="77">
        <v>43305.553854166668</v>
      </c>
    </row>
    <row r="15" spans="1:6" ht="18" x14ac:dyDescent="0.25">
      <c r="A15" t="s">
        <v>700</v>
      </c>
      <c r="B15" s="55">
        <v>22</v>
      </c>
      <c r="C15" s="78" t="s">
        <v>485</v>
      </c>
      <c r="D15" t="s">
        <v>484</v>
      </c>
      <c r="E15" s="77">
        <v>43301.553854166668</v>
      </c>
    </row>
    <row r="16" spans="1:6" ht="18" x14ac:dyDescent="0.25">
      <c r="A16" t="s">
        <v>700</v>
      </c>
      <c r="B16" s="55">
        <v>6</v>
      </c>
      <c r="C16" s="78" t="s">
        <v>66</v>
      </c>
      <c r="D16" t="s">
        <v>65</v>
      </c>
      <c r="E16" s="77">
        <v>43306.553854166668</v>
      </c>
    </row>
    <row r="17" spans="1:5" ht="18" x14ac:dyDescent="0.25">
      <c r="A17" t="s">
        <v>700</v>
      </c>
      <c r="B17" s="55">
        <v>6</v>
      </c>
      <c r="C17" s="78" t="s">
        <v>64</v>
      </c>
      <c r="D17" t="s">
        <v>63</v>
      </c>
      <c r="E17" s="77">
        <v>43291.553854166668</v>
      </c>
    </row>
    <row r="18" spans="1:5" ht="18" x14ac:dyDescent="0.25">
      <c r="A18" t="s">
        <v>700</v>
      </c>
      <c r="B18" s="55">
        <v>6</v>
      </c>
      <c r="C18" s="78" t="s">
        <v>62</v>
      </c>
      <c r="D18" t="s">
        <v>29</v>
      </c>
      <c r="E18" s="77">
        <v>43306.553854166668</v>
      </c>
    </row>
    <row r="19" spans="1:5" ht="18" x14ac:dyDescent="0.25">
      <c r="A19" t="s">
        <v>700</v>
      </c>
      <c r="B19" s="55">
        <v>5</v>
      </c>
      <c r="C19" s="78" t="s">
        <v>61</v>
      </c>
      <c r="E19" s="77">
        <v>43282.553854166668</v>
      </c>
    </row>
    <row r="20" spans="1:5" ht="18" x14ac:dyDescent="0.25">
      <c r="A20" t="s">
        <v>700</v>
      </c>
      <c r="B20" s="55">
        <v>5</v>
      </c>
      <c r="C20" s="78" t="s">
        <v>58</v>
      </c>
      <c r="D20" t="s">
        <v>57</v>
      </c>
      <c r="E20" s="77">
        <v>43306.553854166668</v>
      </c>
    </row>
    <row r="21" spans="1:5" ht="18" x14ac:dyDescent="0.25">
      <c r="A21" t="s">
        <v>699</v>
      </c>
      <c r="B21">
        <v>22</v>
      </c>
      <c r="C21" s="78" t="s">
        <v>56</v>
      </c>
      <c r="D21" t="s">
        <v>55</v>
      </c>
      <c r="E21" s="77">
        <v>43283.553854166668</v>
      </c>
    </row>
    <row r="22" spans="1:5" ht="18" x14ac:dyDescent="0.25">
      <c r="A22" t="s">
        <v>700</v>
      </c>
      <c r="B22" s="55">
        <v>5</v>
      </c>
      <c r="C22" s="78" t="s">
        <v>60</v>
      </c>
      <c r="D22" t="s">
        <v>59</v>
      </c>
      <c r="E22" s="77">
        <v>43284.553854166668</v>
      </c>
    </row>
    <row r="23" spans="1:5" ht="18" x14ac:dyDescent="0.25">
      <c r="A23" t="s">
        <v>699</v>
      </c>
      <c r="B23">
        <v>21</v>
      </c>
      <c r="C23" s="78" t="s">
        <v>724</v>
      </c>
      <c r="D23" t="s">
        <v>49</v>
      </c>
      <c r="E23" s="77">
        <v>43285.553854166668</v>
      </c>
    </row>
    <row r="24" spans="1:5" ht="18" x14ac:dyDescent="0.25">
      <c r="A24" t="s">
        <v>699</v>
      </c>
      <c r="B24">
        <v>14</v>
      </c>
      <c r="C24" s="78" t="s">
        <v>721</v>
      </c>
      <c r="D24" t="s">
        <v>43</v>
      </c>
      <c r="E24" s="77">
        <v>43286.553854166668</v>
      </c>
    </row>
    <row r="25" spans="1:5" ht="18" x14ac:dyDescent="0.25">
      <c r="A25" t="s">
        <v>699</v>
      </c>
      <c r="B25">
        <v>20</v>
      </c>
      <c r="C25" s="78" t="s">
        <v>723</v>
      </c>
      <c r="D25" t="s">
        <v>47</v>
      </c>
      <c r="E25" s="77">
        <v>43287.553854166668</v>
      </c>
    </row>
    <row r="26" spans="1:5" ht="18" x14ac:dyDescent="0.25">
      <c r="A26" t="s">
        <v>699</v>
      </c>
      <c r="B26">
        <v>15</v>
      </c>
      <c r="C26" s="78" t="s">
        <v>722</v>
      </c>
      <c r="D26" t="s">
        <v>45</v>
      </c>
      <c r="E26" s="77">
        <v>43288.553854166668</v>
      </c>
    </row>
    <row r="27" spans="1:5" ht="18" x14ac:dyDescent="0.25">
      <c r="C27" s="78"/>
      <c r="E27" s="77">
        <v>43293.553854166668</v>
      </c>
    </row>
  </sheetData>
  <autoFilter ref="C1:C27">
    <sortState ref="A2:F27">
      <sortCondition descending="1" ref="C1:C27"/>
    </sortState>
  </autoFilter>
  <dataValidations count="1">
    <dataValidation type="list" allowBlank="1" showInputMessage="1" showErrorMessage="1" sqref="B14:B26">
      <formula1>$B$16:$B$65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input!$B$1:$B$65</xm:f>
          </x14:formula1>
          <xm:sqref>B2:B13 B27</xm:sqref>
        </x14:dataValidation>
        <x14:dataValidation type="list" allowBlank="1" showInputMessage="1" showErrorMessage="1">
          <x14:formula1>
            <xm:f>input!$A$1:$A$8</xm:f>
          </x14:formula1>
          <xm:sqref>A2:A27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"/>
  <sheetViews>
    <sheetView rightToLeft="1" workbookViewId="0"/>
  </sheetViews>
  <sheetFormatPr defaultRowHeight="15" x14ac:dyDescent="0.25"/>
  <cols>
    <col min="1" max="1" width="11" bestFit="1" customWidth="1"/>
  </cols>
  <sheetData>
    <row r="2" spans="1:1" x14ac:dyDescent="0.25">
      <c r="A2" t="s">
        <v>717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inventory</vt:lpstr>
      <vt:lpstr>location_items</vt:lpstr>
      <vt:lpstr>input</vt:lpstr>
      <vt:lpstr>output</vt:lpstr>
      <vt:lpstr>location_details</vt:lpstr>
      <vt:lpstr>print</vt:lpstr>
      <vt:lpstr>print_list</vt:lpstr>
      <vt:lpstr>test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Youssri Abo elseod</dc:creator>
  <cp:lastModifiedBy>Youssri Abo elseod</cp:lastModifiedBy>
  <cp:lastPrinted>2018-07-25T13:51:34Z</cp:lastPrinted>
  <dcterms:created xsi:type="dcterms:W3CDTF">2018-07-18T10:44:57Z</dcterms:created>
  <dcterms:modified xsi:type="dcterms:W3CDTF">2018-07-25T15:36:09Z</dcterms:modified>
</cp:coreProperties>
</file>